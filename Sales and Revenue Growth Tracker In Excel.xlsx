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F:\projects\Ms excel\"/>
    </mc:Choice>
  </mc:AlternateContent>
  <xr:revisionPtr revIDLastSave="0" documentId="13_ncr:1_{DFC0E419-A117-48ED-BE90-4B30684E66B7}" xr6:coauthVersionLast="47" xr6:coauthVersionMax="47" xr10:uidLastSave="{00000000-0000-0000-0000-000000000000}"/>
  <bookViews>
    <workbookView xWindow="-108" yWindow="-108" windowWidth="23256" windowHeight="12456" activeTab="3" xr2:uid="{8D438555-48E9-4B7D-905C-E13819AEC1BC}"/>
  </bookViews>
  <sheets>
    <sheet name="Raw_data" sheetId="1" r:id="rId1"/>
    <sheet name="Cleaned_Data" sheetId="2" r:id="rId2"/>
    <sheet name="Processing" sheetId="6" state="hidden" r:id="rId3"/>
    <sheet name="Dashboard" sheetId="4" r:id="rId4"/>
  </sheets>
  <definedNames>
    <definedName name="Slicer_Month">#N/A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 i="2" l="1"/>
  <c r="H44" i="2"/>
  <c r="H45" i="2"/>
  <c r="H46" i="2"/>
  <c r="H47" i="2"/>
  <c r="H48" i="2"/>
  <c r="H49" i="2"/>
  <c r="H50" i="2"/>
  <c r="H60" i="2"/>
  <c r="H61" i="2"/>
  <c r="H62" i="2"/>
  <c r="H63" i="2"/>
  <c r="H64" i="2"/>
  <c r="H65" i="2"/>
  <c r="H66" i="2"/>
  <c r="H76" i="2"/>
  <c r="H77" i="2"/>
  <c r="H78" i="2"/>
  <c r="H79" i="2"/>
  <c r="H80" i="2"/>
  <c r="H81" i="2"/>
  <c r="H82" i="2"/>
  <c r="H92" i="2"/>
  <c r="H93" i="2"/>
  <c r="H94" i="2"/>
  <c r="H95" i="2"/>
  <c r="H96" i="2"/>
  <c r="H97" i="2"/>
  <c r="H98" i="2"/>
  <c r="G34"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K2" i="2"/>
  <c r="L2" i="2" s="1"/>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J15" i="2"/>
  <c r="J16" i="2"/>
  <c r="J31" i="2"/>
  <c r="J32" i="2"/>
  <c r="H2" i="2"/>
  <c r="J2" i="2" s="1"/>
  <c r="H3" i="2"/>
  <c r="J3" i="2" s="1"/>
  <c r="H4" i="2"/>
  <c r="J4" i="2" s="1"/>
  <c r="H5" i="2"/>
  <c r="J5" i="2" s="1"/>
  <c r="H6" i="2"/>
  <c r="J6" i="2" s="1"/>
  <c r="H7" i="2"/>
  <c r="J7" i="2" s="1"/>
  <c r="H8" i="2"/>
  <c r="J8" i="2" s="1"/>
  <c r="H9" i="2"/>
  <c r="J9" i="2" s="1"/>
  <c r="H10" i="2"/>
  <c r="J10" i="2" s="1"/>
  <c r="H11" i="2"/>
  <c r="J11" i="2" s="1"/>
  <c r="H12" i="2"/>
  <c r="J12" i="2" s="1"/>
  <c r="H13" i="2"/>
  <c r="J13" i="2" s="1"/>
  <c r="H14" i="2"/>
  <c r="J14" i="2" s="1"/>
  <c r="H15" i="2"/>
  <c r="H16" i="2"/>
  <c r="H17" i="2"/>
  <c r="J17" i="2" s="1"/>
  <c r="H18" i="2"/>
  <c r="J18" i="2" s="1"/>
  <c r="H19" i="2"/>
  <c r="J19" i="2" s="1"/>
  <c r="H20" i="2"/>
  <c r="J20" i="2" s="1"/>
  <c r="H21" i="2"/>
  <c r="J21" i="2" s="1"/>
  <c r="H22" i="2"/>
  <c r="J22" i="2" s="1"/>
  <c r="H23" i="2"/>
  <c r="J23" i="2" s="1"/>
  <c r="H24" i="2"/>
  <c r="J24" i="2" s="1"/>
  <c r="H25" i="2"/>
  <c r="J25" i="2" s="1"/>
  <c r="H26" i="2"/>
  <c r="J26" i="2" s="1"/>
  <c r="H27" i="2"/>
  <c r="J27" i="2" s="1"/>
  <c r="H28" i="2"/>
  <c r="J28" i="2" s="1"/>
  <c r="H29" i="2"/>
  <c r="J29" i="2" s="1"/>
  <c r="H30" i="2"/>
  <c r="J30" i="2" s="1"/>
  <c r="H31" i="2"/>
  <c r="H32" i="2"/>
  <c r="H33" i="2"/>
  <c r="J33" i="2" s="1"/>
  <c r="H34" i="2"/>
  <c r="J34" i="2" s="1"/>
  <c r="H35" i="2"/>
  <c r="J35" i="2" s="1"/>
  <c r="H36" i="2"/>
  <c r="J36" i="2" s="1"/>
  <c r="H37" i="2"/>
  <c r="J37" i="2" s="1"/>
  <c r="H38" i="2"/>
  <c r="J38" i="2" s="1"/>
  <c r="H39" i="2"/>
  <c r="J39" i="2" s="1"/>
  <c r="H40" i="2"/>
  <c r="J40" i="2" s="1"/>
  <c r="H41" i="2"/>
  <c r="J41" i="2" s="1"/>
  <c r="H42" i="2"/>
  <c r="J42" i="2" s="1"/>
  <c r="H43" i="2"/>
  <c r="J43" i="2" s="1"/>
  <c r="H51" i="2"/>
  <c r="J51" i="2" s="1"/>
  <c r="H52" i="2"/>
  <c r="J52" i="2" s="1"/>
  <c r="H53" i="2"/>
  <c r="J53" i="2" s="1"/>
  <c r="H54" i="2"/>
  <c r="J54" i="2" s="1"/>
  <c r="H55" i="2"/>
  <c r="J55" i="2" s="1"/>
  <c r="H56" i="2"/>
  <c r="J56" i="2" s="1"/>
  <c r="H57" i="2"/>
  <c r="J57" i="2" s="1"/>
  <c r="H58" i="2"/>
  <c r="J58" i="2" s="1"/>
  <c r="H59" i="2"/>
  <c r="J59" i="2" s="1"/>
  <c r="H67" i="2"/>
  <c r="J67" i="2" s="1"/>
  <c r="H68" i="2"/>
  <c r="J68" i="2" s="1"/>
  <c r="H69" i="2"/>
  <c r="J69" i="2" s="1"/>
  <c r="H70" i="2"/>
  <c r="J70" i="2" s="1"/>
  <c r="H71" i="2"/>
  <c r="J71" i="2" s="1"/>
  <c r="H72" i="2"/>
  <c r="J72" i="2" s="1"/>
  <c r="H73" i="2"/>
  <c r="J73" i="2" s="1"/>
  <c r="H74" i="2"/>
  <c r="J74" i="2" s="1"/>
  <c r="H75" i="2"/>
  <c r="J75" i="2" s="1"/>
  <c r="H83" i="2"/>
  <c r="J83" i="2" s="1"/>
  <c r="H84" i="2"/>
  <c r="J84" i="2" s="1"/>
  <c r="H85" i="2"/>
  <c r="J85" i="2" s="1"/>
  <c r="H86" i="2"/>
  <c r="J86" i="2" s="1"/>
  <c r="H87" i="2"/>
  <c r="J87" i="2" s="1"/>
  <c r="H88" i="2"/>
  <c r="J88" i="2" s="1"/>
  <c r="H89" i="2"/>
  <c r="J89" i="2" s="1"/>
  <c r="H90" i="2"/>
  <c r="J90" i="2" s="1"/>
  <c r="H91" i="2"/>
  <c r="J91" i="2" s="1"/>
  <c r="H99" i="2"/>
  <c r="J99" i="2" s="1"/>
  <c r="H100" i="2"/>
  <c r="J100" i="2" s="1"/>
  <c r="H101" i="2"/>
  <c r="J101" i="2" s="1"/>
  <c r="C6" i="6"/>
  <c r="J98" i="2" l="1"/>
  <c r="K98" i="2"/>
  <c r="L98" i="2" s="1"/>
  <c r="J80" i="2"/>
  <c r="K80" i="2"/>
  <c r="L80" i="2" s="1"/>
  <c r="K96" i="2"/>
  <c r="L96" i="2" s="1"/>
  <c r="J96" i="2"/>
  <c r="J82" i="2"/>
  <c r="K82" i="2"/>
  <c r="L82" i="2" s="1"/>
  <c r="J81" i="2"/>
  <c r="K81" i="2"/>
  <c r="L81" i="2" s="1"/>
  <c r="J62" i="2"/>
  <c r="K62" i="2"/>
  <c r="L62" i="2"/>
  <c r="J66" i="2"/>
  <c r="K66" i="2"/>
  <c r="L66" i="2" s="1"/>
  <c r="J97" i="2"/>
  <c r="K97" i="2"/>
  <c r="L97" i="2" s="1"/>
  <c r="J49" i="2"/>
  <c r="K49" i="2"/>
  <c r="L49" i="2" s="1"/>
  <c r="K48" i="2"/>
  <c r="L48" i="2" s="1"/>
  <c r="J48" i="2"/>
  <c r="L79" i="2"/>
  <c r="J79" i="2"/>
  <c r="K79" i="2"/>
  <c r="J47" i="2"/>
  <c r="K47" i="2"/>
  <c r="L47" i="2" s="1"/>
  <c r="J94" i="2"/>
  <c r="K94" i="2"/>
  <c r="L94" i="2"/>
  <c r="J46" i="2"/>
  <c r="K46" i="2"/>
  <c r="L46" i="2" s="1"/>
  <c r="J77" i="2"/>
  <c r="K77" i="2"/>
  <c r="L77" i="2"/>
  <c r="J61" i="2"/>
  <c r="K61" i="2"/>
  <c r="L61" i="2" s="1"/>
  <c r="J92" i="2"/>
  <c r="K92" i="2"/>
  <c r="L92" i="2" s="1"/>
  <c r="J60" i="2"/>
  <c r="K60" i="2"/>
  <c r="L60" i="2"/>
  <c r="J50" i="2"/>
  <c r="K50" i="2"/>
  <c r="L50" i="2" s="1"/>
  <c r="J65" i="2"/>
  <c r="K65" i="2"/>
  <c r="L65" i="2" s="1"/>
  <c r="J64" i="2"/>
  <c r="K64" i="2"/>
  <c r="L64" i="2" s="1"/>
  <c r="K95" i="2"/>
  <c r="L95" i="2" s="1"/>
  <c r="J95" i="2"/>
  <c r="J63" i="2"/>
  <c r="K63" i="2"/>
  <c r="L63" i="2" s="1"/>
  <c r="J78" i="2"/>
  <c r="K78" i="2"/>
  <c r="L78" i="2"/>
  <c r="J93" i="2"/>
  <c r="K93" i="2"/>
  <c r="L93" i="2"/>
  <c r="J45" i="2"/>
  <c r="K45" i="2"/>
  <c r="L45" i="2" s="1"/>
  <c r="J76" i="2"/>
  <c r="K76" i="2"/>
  <c r="L76" i="2" s="1"/>
  <c r="J44" i="2"/>
  <c r="K44" i="2"/>
  <c r="L44" i="2"/>
  <c r="K90" i="2"/>
  <c r="L90" i="2" s="1"/>
  <c r="K41" i="2"/>
  <c r="K88" i="2"/>
  <c r="K54" i="2"/>
  <c r="L54" i="2" s="1"/>
  <c r="L73" i="2"/>
  <c r="L41" i="2"/>
  <c r="K58" i="2"/>
  <c r="L58" i="2" s="1"/>
  <c r="K57" i="2"/>
  <c r="L57" i="2" s="1"/>
  <c r="K39" i="2"/>
  <c r="L39" i="2" s="1"/>
  <c r="K53" i="2"/>
  <c r="K68" i="2"/>
  <c r="L68" i="2" s="1"/>
  <c r="K36" i="2"/>
  <c r="L36" i="2" s="1"/>
  <c r="K72" i="2"/>
  <c r="K55" i="2"/>
  <c r="L55" i="2" s="1"/>
  <c r="K99" i="2"/>
  <c r="L99" i="2" s="1"/>
  <c r="K83" i="2"/>
  <c r="L83" i="2" s="1"/>
  <c r="K67" i="2"/>
  <c r="L67" i="2" s="1"/>
  <c r="K51" i="2"/>
  <c r="L51" i="2" s="1"/>
  <c r="K35" i="2"/>
  <c r="L35" i="2" s="1"/>
  <c r="K56" i="2"/>
  <c r="L56" i="2" s="1"/>
  <c r="L87" i="2"/>
  <c r="L101" i="2"/>
  <c r="L85" i="2"/>
  <c r="L69" i="2"/>
  <c r="L53" i="2"/>
  <c r="L37" i="2"/>
  <c r="K75" i="2"/>
  <c r="K89" i="2"/>
  <c r="L89" i="2" s="1"/>
  <c r="L88" i="2"/>
  <c r="K84" i="2"/>
  <c r="L84" i="2" s="1"/>
  <c r="K42" i="2"/>
  <c r="L42" i="2" s="1"/>
  <c r="K73" i="2"/>
  <c r="K69" i="2"/>
  <c r="K91" i="2"/>
  <c r="L91" i="2" s="1"/>
  <c r="K70" i="2"/>
  <c r="L70" i="2" s="1"/>
  <c r="L72" i="2"/>
  <c r="K100" i="2"/>
  <c r="L100" i="2" s="1"/>
  <c r="K40" i="2"/>
  <c r="L40" i="2" s="1"/>
  <c r="K87" i="2"/>
  <c r="K38" i="2"/>
  <c r="L38" i="2" s="1"/>
  <c r="K101" i="2"/>
  <c r="K43" i="2"/>
  <c r="L43" i="2" s="1"/>
  <c r="K37" i="2"/>
  <c r="K59" i="2"/>
  <c r="L59" i="2" s="1"/>
  <c r="K74" i="2"/>
  <c r="L74" i="2" s="1"/>
  <c r="L75" i="2"/>
  <c r="K71" i="2"/>
  <c r="L71" i="2" s="1"/>
  <c r="K86" i="2"/>
  <c r="L86" i="2" s="1"/>
  <c r="K85" i="2"/>
  <c r="K52" i="2"/>
  <c r="L52" i="2" s="1"/>
  <c r="K34" i="2"/>
  <c r="L34" i="2"/>
  <c r="O2" i="2"/>
</calcChain>
</file>

<file path=xl/sharedStrings.xml><?xml version="1.0" encoding="utf-8"?>
<sst xmlns="http://schemas.openxmlformats.org/spreadsheetml/2006/main" count="865" uniqueCount="75">
  <si>
    <t>Date</t>
  </si>
  <si>
    <t>Month</t>
  </si>
  <si>
    <t>Region</t>
  </si>
  <si>
    <t>Sales Exec</t>
  </si>
  <si>
    <t>Product Category</t>
  </si>
  <si>
    <t>Units Sold</t>
  </si>
  <si>
    <t>Selling Price</t>
  </si>
  <si>
    <t>Revenue</t>
  </si>
  <si>
    <t>Cost</t>
  </si>
  <si>
    <t>Profit</t>
  </si>
  <si>
    <t>Achievement %</t>
  </si>
  <si>
    <t>Jan</t>
  </si>
  <si>
    <t>North</t>
  </si>
  <si>
    <t>Ajay</t>
  </si>
  <si>
    <t>Electronics</t>
  </si>
  <si>
    <t>West</t>
  </si>
  <si>
    <t>Sneha</t>
  </si>
  <si>
    <t>Apparel</t>
  </si>
  <si>
    <t>South</t>
  </si>
  <si>
    <t>Rahul</t>
  </si>
  <si>
    <t>Home Decor</t>
  </si>
  <si>
    <t>East</t>
  </si>
  <si>
    <t>Priya</t>
  </si>
  <si>
    <t>Feb</t>
  </si>
  <si>
    <t>feb</t>
  </si>
  <si>
    <t>mar</t>
  </si>
  <si>
    <t>april</t>
  </si>
  <si>
    <t>may</t>
  </si>
  <si>
    <t>june</t>
  </si>
  <si>
    <t>july</t>
  </si>
  <si>
    <t>aug</t>
  </si>
  <si>
    <t>sep</t>
  </si>
  <si>
    <t>oct</t>
  </si>
  <si>
    <t>Apr</t>
  </si>
  <si>
    <t>May</t>
  </si>
  <si>
    <t>Jun</t>
  </si>
  <si>
    <t>august</t>
  </si>
  <si>
    <t>september</t>
  </si>
  <si>
    <t>october</t>
  </si>
  <si>
    <t>november</t>
  </si>
  <si>
    <t>nov</t>
  </si>
  <si>
    <t>dec</t>
  </si>
  <si>
    <t>jan</t>
  </si>
  <si>
    <t>Jul</t>
  </si>
  <si>
    <t>Aug</t>
  </si>
  <si>
    <t>Sep</t>
  </si>
  <si>
    <t>december</t>
  </si>
  <si>
    <t>january</t>
  </si>
  <si>
    <t>february</t>
  </si>
  <si>
    <t>march</t>
  </si>
  <si>
    <t>apr</t>
  </si>
  <si>
    <t>Oct</t>
  </si>
  <si>
    <t>Nov</t>
  </si>
  <si>
    <t>Dec</t>
  </si>
  <si>
    <t>jun</t>
  </si>
  <si>
    <t>jul</t>
  </si>
  <si>
    <t>Mar</t>
  </si>
  <si>
    <t>August</t>
  </si>
  <si>
    <t>vijay</t>
  </si>
  <si>
    <t>karan</t>
  </si>
  <si>
    <t>ravi</t>
  </si>
  <si>
    <t>harsha</t>
  </si>
  <si>
    <t>sanju</t>
  </si>
  <si>
    <t>vikram</t>
  </si>
  <si>
    <t>raj</t>
  </si>
  <si>
    <t>kishor</t>
  </si>
  <si>
    <t>sandy</t>
  </si>
  <si>
    <t>prabhas</t>
  </si>
  <si>
    <t>Target sales</t>
  </si>
  <si>
    <t>Grand Total</t>
  </si>
  <si>
    <t>Sum of Revenue</t>
  </si>
  <si>
    <t>Regional Revenue</t>
  </si>
  <si>
    <t>Executive Ranking</t>
  </si>
  <si>
    <t>Average of Achievement %</t>
  </si>
  <si>
    <t>Sales and Revenue Growth In Excel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</si>
</sst>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Calibri"/>
      <family val="2"/>
      <scheme val="minor"/>
    </font>
    <font>
      <sz val="11"/>
      <color rgb="FF1F1F1F"/>
      <name val="Arial"/>
      <family val="2"/>
    </font>
    <font>
      <b/>
      <sz val="11"/>
      <color rgb="FF1F1F1F"/>
      <name val="Arial"/>
      <family val="2"/>
    </font>
    <font>
      <sz val="8"/>
      <name val="Calibri"/>
      <family val="2"/>
      <scheme val="minor"/>
    </font>
    <font>
      <b/>
      <sz val="26"/>
      <color theme="0"/>
      <name val="Calibri"/>
      <family val="2"/>
      <scheme val="minor"/>
    </font>
  </fonts>
  <fills count="6">
    <fill>
      <patternFill patternType="none"/>
    </fill>
    <fill>
      <patternFill patternType="gray125"/>
    </fill>
    <fill>
      <patternFill patternType="solid">
        <fgColor theme="8"/>
        <bgColor theme="8"/>
      </patternFill>
    </fill>
    <fill>
      <patternFill patternType="solid">
        <fgColor theme="8" tint="0.79998168889431442"/>
        <bgColor theme="8" tint="0.79998168889431442"/>
      </patternFill>
    </fill>
    <fill>
      <patternFill patternType="solid">
        <fgColor theme="2" tint="-9.9978637043366805E-2"/>
        <bgColor indexed="64"/>
      </patternFill>
    </fill>
    <fill>
      <patternFill patternType="solid">
        <fgColor theme="1"/>
        <bgColor indexed="64"/>
      </patternFill>
    </fill>
  </fills>
  <borders count="9">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style="medium">
        <color rgb="FF000000"/>
      </right>
      <top style="medium">
        <color rgb="FF000000"/>
      </top>
      <bottom/>
      <diagonal/>
    </border>
    <border>
      <left style="medium">
        <color rgb="FF000000"/>
      </left>
      <right style="medium">
        <color rgb="FF000000"/>
      </right>
      <top style="medium">
        <color rgb="FF000000"/>
      </top>
      <bottom/>
      <diagonal/>
    </border>
  </borders>
  <cellStyleXfs count="2">
    <xf numFmtId="0" fontId="0" fillId="0" borderId="0"/>
    <xf numFmtId="9" fontId="1" fillId="0" borderId="0" applyFont="0" applyFill="0" applyBorder="0" applyAlignment="0" applyProtection="0"/>
  </cellStyleXfs>
  <cellXfs count="27">
    <xf numFmtId="0" fontId="0" fillId="0" borderId="0" xfId="0"/>
    <xf numFmtId="9" fontId="0" fillId="0" borderId="0" xfId="0" applyNumberFormat="1"/>
    <xf numFmtId="0" fontId="3" fillId="0" borderId="1" xfId="0" applyFont="1" applyBorder="1" applyAlignment="1">
      <alignment horizontal="left" vertical="center" readingOrder="1"/>
    </xf>
    <xf numFmtId="0" fontId="3" fillId="0" borderId="1" xfId="0" applyFont="1" applyBorder="1" applyAlignment="1">
      <alignment vertical="center" readingOrder="1"/>
    </xf>
    <xf numFmtId="16" fontId="2" fillId="0" borderId="1" xfId="0" applyNumberFormat="1" applyFont="1" applyBorder="1" applyAlignment="1">
      <alignment horizontal="left" vertical="center" readingOrder="1"/>
    </xf>
    <xf numFmtId="0" fontId="2" fillId="0" borderId="1" xfId="0" applyFont="1" applyBorder="1" applyAlignment="1">
      <alignment horizontal="left" vertical="center" readingOrder="1"/>
    </xf>
    <xf numFmtId="9" fontId="2" fillId="0" borderId="1" xfId="0" applyNumberFormat="1" applyFont="1" applyBorder="1" applyAlignment="1">
      <alignment vertical="center" readingOrder="1"/>
    </xf>
    <xf numFmtId="16" fontId="2" fillId="0" borderId="2" xfId="0" applyNumberFormat="1" applyFont="1" applyBorder="1" applyAlignment="1">
      <alignment horizontal="left" vertical="center" readingOrder="1"/>
    </xf>
    <xf numFmtId="9" fontId="2" fillId="0" borderId="3" xfId="0" applyNumberFormat="1" applyFont="1" applyBorder="1" applyAlignment="1">
      <alignment vertical="center" readingOrder="1"/>
    </xf>
    <xf numFmtId="0" fontId="3" fillId="0" borderId="4" xfId="0" applyFont="1" applyBorder="1" applyAlignment="1">
      <alignment horizontal="left" vertical="center" readingOrder="1"/>
    </xf>
    <xf numFmtId="0" fontId="3" fillId="0" borderId="5" xfId="0" applyFont="1" applyBorder="1" applyAlignment="1">
      <alignment horizontal="left" vertical="center" readingOrder="1"/>
    </xf>
    <xf numFmtId="0" fontId="3" fillId="0" borderId="6" xfId="0" applyFont="1" applyBorder="1" applyAlignment="1">
      <alignment vertical="center" readingOrder="1"/>
    </xf>
    <xf numFmtId="16" fontId="2" fillId="0" borderId="7" xfId="0" applyNumberFormat="1" applyFont="1" applyBorder="1" applyAlignment="1">
      <alignment horizontal="left" vertical="center" readingOrder="1"/>
    </xf>
    <xf numFmtId="0" fontId="2" fillId="0" borderId="8" xfId="0" applyFont="1" applyBorder="1" applyAlignment="1">
      <alignment horizontal="left" vertical="center" readingOrder="1"/>
    </xf>
    <xf numFmtId="0" fontId="2" fillId="3" borderId="1" xfId="0" applyFont="1" applyFill="1" applyBorder="1" applyAlignment="1">
      <alignment horizontal="left" vertical="center" readingOrder="1"/>
    </xf>
    <xf numFmtId="1" fontId="2" fillId="0" borderId="1" xfId="0" applyNumberFormat="1" applyFont="1" applyBorder="1" applyAlignment="1">
      <alignment horizontal="left" vertical="center" readingOrder="1"/>
    </xf>
    <xf numFmtId="1" fontId="2" fillId="0" borderId="8" xfId="0" applyNumberFormat="1" applyFont="1" applyBorder="1" applyAlignment="1">
      <alignment horizontal="left" vertical="center" readingOrder="1"/>
    </xf>
    <xf numFmtId="0" fontId="3" fillId="0" borderId="6" xfId="0" applyFont="1" applyBorder="1" applyAlignment="1">
      <alignment horizontal="left" vertical="center" readingOrder="1"/>
    </xf>
    <xf numFmtId="0" fontId="2" fillId="0" borderId="3" xfId="0" applyFont="1" applyBorder="1" applyAlignment="1">
      <alignment horizontal="left" vertical="center" readingOrder="1"/>
    </xf>
    <xf numFmtId="1" fontId="2" fillId="0" borderId="3" xfId="0" applyNumberFormat="1" applyFont="1" applyBorder="1" applyAlignment="1">
      <alignment horizontal="left" vertical="center" readingOrder="1"/>
    </xf>
    <xf numFmtId="9" fontId="2" fillId="0" borderId="3" xfId="1" applyFont="1" applyBorder="1" applyAlignment="1">
      <alignment vertical="center" readingOrder="1"/>
    </xf>
    <xf numFmtId="0" fontId="0" fillId="0" borderId="0" xfId="0" pivotButton="1"/>
    <xf numFmtId="0" fontId="0" fillId="0" borderId="0" xfId="0" applyAlignment="1">
      <alignment horizontal="left"/>
    </xf>
    <xf numFmtId="0" fontId="3" fillId="2" borderId="1" xfId="0" applyFont="1" applyFill="1" applyBorder="1" applyAlignment="1">
      <alignment horizontal="left" vertical="center" readingOrder="1"/>
    </xf>
    <xf numFmtId="0" fontId="0" fillId="4" borderId="0" xfId="0" applyFill="1"/>
    <xf numFmtId="0" fontId="0" fillId="5" borderId="0" xfId="0" applyFill="1"/>
    <xf numFmtId="0" fontId="5" fillId="5" borderId="0" xfId="0" applyFont="1" applyFill="1" applyAlignment="1">
      <alignment horizontal="center" vertical="center"/>
    </xf>
  </cellXfs>
  <cellStyles count="2">
    <cellStyle name="Normal" xfId="0" builtinId="0"/>
    <cellStyle name="Percent" xfId="1" builtinId="5"/>
  </cellStyles>
  <dxfs count="17">
    <dxf>
      <font>
        <b val="0"/>
        <i val="0"/>
        <strike val="0"/>
        <condense val="0"/>
        <extend val="0"/>
        <outline val="0"/>
        <shadow val="0"/>
        <u val="none"/>
        <vertAlign val="baseline"/>
        <sz val="11"/>
        <color rgb="FF1F1F1F"/>
        <name val="Arial"/>
        <family val="2"/>
        <scheme val="none"/>
      </font>
      <numFmt numFmtId="13" formatCode="0%"/>
      <alignment horizontal="general" vertical="center" textRotation="0" wrapText="0" indent="0" justifyLastLine="0" shrinkToFit="0" readingOrder="1"/>
      <border diagonalUp="0" diagonalDown="0">
        <left style="medium">
          <color rgb="FF000000"/>
        </left>
        <right/>
        <top style="medium">
          <color rgb="FF000000"/>
        </top>
        <bottom style="medium">
          <color rgb="FF000000"/>
        </bottom>
        <vertical/>
        <horizontal/>
      </border>
    </dxf>
    <dxf>
      <font>
        <b val="0"/>
        <i val="0"/>
        <strike val="0"/>
        <condense val="0"/>
        <extend val="0"/>
        <outline val="0"/>
        <shadow val="0"/>
        <u val="none"/>
        <vertAlign val="baseline"/>
        <sz val="11"/>
        <color rgb="FF1F1F1F"/>
        <name val="Arial"/>
        <family val="2"/>
        <scheme val="none"/>
      </font>
      <numFmt numFmtId="0" formatCode="General"/>
      <alignment horizontal="left" vertical="center" textRotation="0" wrapText="0" indent="0" justifyLastLine="0" shrinkToFit="0" readingOrder="1"/>
      <border diagonalUp="0" diagonalDown="0">
        <left style="medium">
          <color rgb="FF000000"/>
        </left>
        <right/>
        <top style="medium">
          <color rgb="FF000000"/>
        </top>
        <bottom style="medium">
          <color rgb="FF000000"/>
        </bottom>
        <vertical/>
        <horizontal/>
      </border>
    </dxf>
    <dxf>
      <font>
        <b val="0"/>
        <i val="0"/>
        <strike val="0"/>
        <condense val="0"/>
        <extend val="0"/>
        <outline val="0"/>
        <shadow val="0"/>
        <u val="none"/>
        <vertAlign val="baseline"/>
        <sz val="11"/>
        <color rgb="FF1F1F1F"/>
        <name val="Arial"/>
        <family val="2"/>
        <scheme val="none"/>
      </font>
      <numFmt numFmtId="0" formatCode="General"/>
      <alignment horizontal="left" vertical="center" textRotation="0" wrapText="0" indent="0" justifyLastLine="0" shrinkToFit="0" readingOrder="1"/>
      <border diagonalUp="0" diagonalDown="0">
        <left style="medium">
          <color rgb="FF000000"/>
        </left>
        <right style="medium">
          <color rgb="FF000000"/>
        </right>
        <top style="medium">
          <color rgb="FF000000"/>
        </top>
        <bottom style="medium">
          <color rgb="FF000000"/>
        </bottom>
        <vertical/>
        <horizontal/>
      </border>
    </dxf>
    <dxf>
      <font>
        <b val="0"/>
        <i val="0"/>
        <strike val="0"/>
        <condense val="0"/>
        <extend val="0"/>
        <outline val="0"/>
        <shadow val="0"/>
        <u val="none"/>
        <vertAlign val="baseline"/>
        <sz val="11"/>
        <color rgb="FF1F1F1F"/>
        <name val="Arial"/>
        <family val="2"/>
        <scheme val="none"/>
      </font>
      <alignment horizontal="left" vertical="center" textRotation="0" wrapText="0" indent="0" justifyLastLine="0" shrinkToFit="0" readingOrder="1"/>
      <border diagonalUp="0" diagonalDown="0">
        <left style="medium">
          <color rgb="FF000000"/>
        </left>
        <right style="medium">
          <color rgb="FF000000"/>
        </right>
        <top style="medium">
          <color rgb="FF000000"/>
        </top>
        <bottom style="medium">
          <color rgb="FF000000"/>
        </bottom>
        <vertical/>
        <horizontal/>
      </border>
    </dxf>
    <dxf>
      <font>
        <b val="0"/>
        <i val="0"/>
        <strike val="0"/>
        <condense val="0"/>
        <extend val="0"/>
        <outline val="0"/>
        <shadow val="0"/>
        <u val="none"/>
        <vertAlign val="baseline"/>
        <sz val="11"/>
        <color rgb="FF1F1F1F"/>
        <name val="Arial"/>
        <family val="2"/>
        <scheme val="none"/>
      </font>
      <numFmt numFmtId="0" formatCode="General"/>
      <alignment horizontal="left" vertical="center" textRotation="0" wrapText="0" indent="0" justifyLastLine="0" shrinkToFit="0" readingOrder="1"/>
      <border diagonalUp="0" diagonalDown="0">
        <left style="medium">
          <color rgb="FF000000"/>
        </left>
        <right style="medium">
          <color rgb="FF000000"/>
        </right>
        <top style="medium">
          <color rgb="FF000000"/>
        </top>
        <bottom style="medium">
          <color rgb="FF000000"/>
        </bottom>
        <vertical/>
        <horizontal/>
      </border>
    </dxf>
    <dxf>
      <font>
        <b val="0"/>
        <i val="0"/>
        <strike val="0"/>
        <condense val="0"/>
        <extend val="0"/>
        <outline val="0"/>
        <shadow val="0"/>
        <u val="none"/>
        <vertAlign val="baseline"/>
        <sz val="11"/>
        <color rgb="FF1F1F1F"/>
        <name val="Arial"/>
        <family val="2"/>
        <scheme val="none"/>
      </font>
      <alignment horizontal="left" vertical="center" textRotation="0" wrapText="0" indent="0" justifyLastLine="0" shrinkToFit="0" readingOrder="1"/>
      <border diagonalUp="0" diagonalDown="0">
        <left style="medium">
          <color rgb="FF000000"/>
        </left>
        <right style="medium">
          <color rgb="FF000000"/>
        </right>
        <top style="medium">
          <color rgb="FF000000"/>
        </top>
        <bottom style="medium">
          <color rgb="FF000000"/>
        </bottom>
        <vertical/>
        <horizontal/>
      </border>
    </dxf>
    <dxf>
      <font>
        <b val="0"/>
        <i val="0"/>
        <strike val="0"/>
        <condense val="0"/>
        <extend val="0"/>
        <outline val="0"/>
        <shadow val="0"/>
        <u val="none"/>
        <vertAlign val="baseline"/>
        <sz val="11"/>
        <color rgb="FF1F1F1F"/>
        <name val="Arial"/>
        <family val="2"/>
        <scheme val="none"/>
      </font>
      <alignment horizontal="left" vertical="center" textRotation="0" wrapText="0" indent="0" justifyLastLine="0" shrinkToFit="0" readingOrder="1"/>
      <border diagonalUp="0" diagonalDown="0">
        <left style="medium">
          <color rgb="FF000000"/>
        </left>
        <right style="medium">
          <color rgb="FF000000"/>
        </right>
        <top style="medium">
          <color rgb="FF000000"/>
        </top>
        <bottom style="medium">
          <color rgb="FF000000"/>
        </bottom>
        <vertical/>
        <horizontal/>
      </border>
    </dxf>
    <dxf>
      <font>
        <b val="0"/>
        <i val="0"/>
        <strike val="0"/>
        <condense val="0"/>
        <extend val="0"/>
        <outline val="0"/>
        <shadow val="0"/>
        <u val="none"/>
        <vertAlign val="baseline"/>
        <sz val="11"/>
        <color rgb="FF1F1F1F"/>
        <name val="Arial"/>
        <family val="2"/>
        <scheme val="none"/>
      </font>
      <alignment horizontal="left" vertical="center" textRotation="0" wrapText="0" indent="0" justifyLastLine="0" shrinkToFit="0" readingOrder="1"/>
      <border diagonalUp="0" diagonalDown="0">
        <left style="medium">
          <color rgb="FF000000"/>
        </left>
        <right style="medium">
          <color rgb="FF000000"/>
        </right>
        <top style="medium">
          <color rgb="FF000000"/>
        </top>
        <bottom style="medium">
          <color rgb="FF000000"/>
        </bottom>
        <vertical/>
        <horizontal/>
      </border>
    </dxf>
    <dxf>
      <font>
        <b val="0"/>
        <i val="0"/>
        <strike val="0"/>
        <condense val="0"/>
        <extend val="0"/>
        <outline val="0"/>
        <shadow val="0"/>
        <u val="none"/>
        <vertAlign val="baseline"/>
        <sz val="11"/>
        <color rgb="FF1F1F1F"/>
        <name val="Arial"/>
        <family val="2"/>
        <scheme val="none"/>
      </font>
      <alignment horizontal="left" vertical="center" textRotation="0" wrapText="0" indent="0" justifyLastLine="0" shrinkToFit="0" readingOrder="1"/>
      <border diagonalUp="0" diagonalDown="0">
        <left style="medium">
          <color rgb="FF000000"/>
        </left>
        <right style="medium">
          <color rgb="FF000000"/>
        </right>
        <top style="medium">
          <color rgb="FF000000"/>
        </top>
        <bottom style="medium">
          <color rgb="FF000000"/>
        </bottom>
        <vertical/>
        <horizontal/>
      </border>
    </dxf>
    <dxf>
      <font>
        <b val="0"/>
        <i val="0"/>
        <strike val="0"/>
        <condense val="0"/>
        <extend val="0"/>
        <outline val="0"/>
        <shadow val="0"/>
        <u val="none"/>
        <vertAlign val="baseline"/>
        <sz val="11"/>
        <color rgb="FF1F1F1F"/>
        <name val="Arial"/>
        <family val="2"/>
        <scheme val="none"/>
      </font>
      <alignment horizontal="left" vertical="center" textRotation="0" wrapText="0" indent="0" justifyLastLine="0" shrinkToFit="0" readingOrder="1"/>
      <border diagonalUp="0" diagonalDown="0">
        <left style="medium">
          <color rgb="FF000000"/>
        </left>
        <right style="medium">
          <color rgb="FF000000"/>
        </right>
        <top style="medium">
          <color rgb="FF000000"/>
        </top>
        <bottom style="medium">
          <color rgb="FF000000"/>
        </bottom>
        <vertical/>
        <horizontal/>
      </border>
    </dxf>
    <dxf>
      <font>
        <b val="0"/>
        <i val="0"/>
        <strike val="0"/>
        <condense val="0"/>
        <extend val="0"/>
        <outline val="0"/>
        <shadow val="0"/>
        <u val="none"/>
        <vertAlign val="baseline"/>
        <sz val="11"/>
        <color rgb="FF1F1F1F"/>
        <name val="Arial"/>
        <family val="2"/>
        <scheme val="none"/>
      </font>
      <alignment horizontal="left" vertical="center" textRotation="0" wrapText="0" indent="0" justifyLastLine="0" shrinkToFit="0" readingOrder="1"/>
      <border diagonalUp="0" diagonalDown="0">
        <left style="medium">
          <color rgb="FF000000"/>
        </left>
        <right style="medium">
          <color rgb="FF000000"/>
        </right>
        <top style="medium">
          <color rgb="FF000000"/>
        </top>
        <bottom style="medium">
          <color rgb="FF000000"/>
        </bottom>
        <vertical/>
        <horizontal/>
      </border>
    </dxf>
    <dxf>
      <font>
        <b val="0"/>
        <i val="0"/>
        <strike val="0"/>
        <condense val="0"/>
        <extend val="0"/>
        <outline val="0"/>
        <shadow val="0"/>
        <u val="none"/>
        <vertAlign val="baseline"/>
        <sz val="11"/>
        <color rgb="FF1F1F1F"/>
        <name val="Arial"/>
        <family val="2"/>
        <scheme val="none"/>
      </font>
      <numFmt numFmtId="21" formatCode="dd/mmm"/>
      <alignment horizontal="left" vertical="center" textRotation="0" wrapText="0" indent="0" justifyLastLine="0" shrinkToFit="0" readingOrder="1"/>
      <border diagonalUp="0" diagonalDown="0">
        <left/>
        <right style="medium">
          <color rgb="FF000000"/>
        </right>
        <top style="medium">
          <color rgb="FF000000"/>
        </top>
        <bottom style="medium">
          <color rgb="FF000000"/>
        </bottom>
        <vertical/>
        <horizontal/>
      </border>
    </dxf>
    <dxf>
      <border outline="0">
        <top style="medium">
          <color rgb="FF000000"/>
        </top>
      </border>
    </dxf>
    <dxf>
      <border outline="0">
        <left style="medium">
          <color rgb="FF000000"/>
        </left>
        <right style="medium">
          <color rgb="FF000000"/>
        </right>
        <top style="medium">
          <color rgb="FF000000"/>
        </top>
        <bottom style="medium">
          <color rgb="FF000000"/>
        </bottom>
      </border>
    </dxf>
    <dxf>
      <font>
        <b val="0"/>
        <i val="0"/>
        <strike val="0"/>
        <condense val="0"/>
        <extend val="0"/>
        <outline val="0"/>
        <shadow val="0"/>
        <u val="none"/>
        <vertAlign val="baseline"/>
        <sz val="11"/>
        <color rgb="FF1F1F1F"/>
        <name val="Arial"/>
        <family val="2"/>
        <scheme val="none"/>
      </font>
      <alignment horizontal="left" vertical="center" textRotation="0" wrapText="0" indent="0" justifyLastLine="0" shrinkToFit="0" readingOrder="1"/>
    </dxf>
    <dxf>
      <border outline="0">
        <bottom style="medium">
          <color rgb="FF000000"/>
        </bottom>
      </border>
    </dxf>
    <dxf>
      <font>
        <b/>
        <i val="0"/>
        <strike val="0"/>
        <condense val="0"/>
        <extend val="0"/>
        <outline val="0"/>
        <shadow val="0"/>
        <u val="none"/>
        <vertAlign val="baseline"/>
        <sz val="11"/>
        <color rgb="FF1F1F1F"/>
        <name val="Arial"/>
        <family val="2"/>
        <scheme val="none"/>
      </font>
      <alignment horizontal="left" vertical="center" textRotation="0" wrapText="0" indent="0" justifyLastLine="0" shrinkToFit="0" readingOrder="1"/>
      <border diagonalUp="0" diagonalDown="0" outline="0">
        <left style="medium">
          <color rgb="FF000000"/>
        </left>
        <right style="medium">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Revenue Growth Tracker In Excel.xlsx]Processing!PivotTable2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Processing!$B$3</c:f>
              <c:strCache>
                <c:ptCount val="1"/>
                <c:pt idx="0">
                  <c:v>Total</c:v>
                </c:pt>
              </c:strCache>
            </c:strRef>
          </c:tx>
          <c:spPr>
            <a:solidFill>
              <a:schemeClr val="accent1"/>
            </a:solidFill>
            <a:ln>
              <a:noFill/>
            </a:ln>
            <a:effectLst/>
          </c:spPr>
          <c:invertIfNegative val="0"/>
          <c:cat>
            <c:strRef>
              <c:f>Processing!$A$4:$A$7</c:f>
              <c:strCache>
                <c:ptCount val="3"/>
                <c:pt idx="0">
                  <c:v>East</c:v>
                </c:pt>
                <c:pt idx="1">
                  <c:v>North</c:v>
                </c:pt>
                <c:pt idx="2">
                  <c:v>South</c:v>
                </c:pt>
              </c:strCache>
            </c:strRef>
          </c:cat>
          <c:val>
            <c:numRef>
              <c:f>Processing!$B$4:$B$7</c:f>
              <c:numCache>
                <c:formatCode>General</c:formatCode>
                <c:ptCount val="3"/>
                <c:pt idx="0">
                  <c:v>-10467160.991735538</c:v>
                </c:pt>
                <c:pt idx="1">
                  <c:v>-16507276.951331485</c:v>
                </c:pt>
                <c:pt idx="2">
                  <c:v>-10993983.140495852</c:v>
                </c:pt>
              </c:numCache>
            </c:numRef>
          </c:val>
          <c:extLst>
            <c:ext xmlns:c16="http://schemas.microsoft.com/office/drawing/2014/chart" uri="{C3380CC4-5D6E-409C-BE32-E72D297353CC}">
              <c16:uniqueId val="{00000000-9CED-4441-B43F-1A25578DBE1A}"/>
            </c:ext>
          </c:extLst>
        </c:ser>
        <c:dLbls>
          <c:showLegendKey val="0"/>
          <c:showVal val="0"/>
          <c:showCatName val="0"/>
          <c:showSerName val="0"/>
          <c:showPercent val="0"/>
          <c:showBubbleSize val="0"/>
        </c:dLbls>
        <c:gapWidth val="219"/>
        <c:overlap val="-27"/>
        <c:axId val="1629303824"/>
        <c:axId val="1629306704"/>
      </c:barChart>
      <c:catAx>
        <c:axId val="1629303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9306704"/>
        <c:crosses val="autoZero"/>
        <c:auto val="1"/>
        <c:lblAlgn val="ctr"/>
        <c:lblOffset val="100"/>
        <c:noMultiLvlLbl val="0"/>
      </c:catAx>
      <c:valAx>
        <c:axId val="1629306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9303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Revenue Growth Tracker In Excel.xlsx]Processing!PivotTable5</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Processing!$D$11</c:f>
              <c:strCache>
                <c:ptCount val="1"/>
                <c:pt idx="0">
                  <c:v>Total</c:v>
                </c:pt>
              </c:strCache>
            </c:strRef>
          </c:tx>
          <c:spPr>
            <a:ln w="28575" cap="rnd">
              <a:solidFill>
                <a:schemeClr val="accent1"/>
              </a:solidFill>
              <a:round/>
            </a:ln>
            <a:effectLst/>
          </c:spPr>
          <c:marker>
            <c:symbol val="none"/>
          </c:marker>
          <c:cat>
            <c:strRef>
              <c:f>Processing!$C$12:$C$26</c:f>
              <c:strCache>
                <c:ptCount val="14"/>
                <c:pt idx="0">
                  <c:v>january</c:v>
                </c:pt>
                <c:pt idx="1">
                  <c:v>Jan</c:v>
                </c:pt>
                <c:pt idx="2">
                  <c:v>feb</c:v>
                </c:pt>
                <c:pt idx="3">
                  <c:v>mar</c:v>
                </c:pt>
                <c:pt idx="4">
                  <c:v>Apr</c:v>
                </c:pt>
                <c:pt idx="5">
                  <c:v>april</c:v>
                </c:pt>
                <c:pt idx="6">
                  <c:v>may</c:v>
                </c:pt>
                <c:pt idx="7">
                  <c:v>july</c:v>
                </c:pt>
                <c:pt idx="8">
                  <c:v>August</c:v>
                </c:pt>
                <c:pt idx="9">
                  <c:v>september</c:v>
                </c:pt>
                <c:pt idx="10">
                  <c:v>november</c:v>
                </c:pt>
                <c:pt idx="11">
                  <c:v>december</c:v>
                </c:pt>
                <c:pt idx="12">
                  <c:v>Jun</c:v>
                </c:pt>
                <c:pt idx="13">
                  <c:v>Jul</c:v>
                </c:pt>
              </c:strCache>
            </c:strRef>
          </c:cat>
          <c:val>
            <c:numRef>
              <c:f>Processing!$D$12:$D$26</c:f>
              <c:numCache>
                <c:formatCode>General</c:formatCode>
                <c:ptCount val="14"/>
                <c:pt idx="0">
                  <c:v>-2602856.8595041302</c:v>
                </c:pt>
                <c:pt idx="1">
                  <c:v>-1975942.4058769478</c:v>
                </c:pt>
                <c:pt idx="2">
                  <c:v>-1085149.3847566561</c:v>
                </c:pt>
                <c:pt idx="3">
                  <c:v>-3281241.1019283691</c:v>
                </c:pt>
                <c:pt idx="4">
                  <c:v>-2791702.4058769532</c:v>
                </c:pt>
                <c:pt idx="5">
                  <c:v>-3618235.3719008276</c:v>
                </c:pt>
                <c:pt idx="6">
                  <c:v>-5589470.8907254357</c:v>
                </c:pt>
                <c:pt idx="7">
                  <c:v>-4063901.4876033016</c:v>
                </c:pt>
                <c:pt idx="8">
                  <c:v>-1480323.5261707979</c:v>
                </c:pt>
                <c:pt idx="9">
                  <c:v>-1623804.5179063338</c:v>
                </c:pt>
                <c:pt idx="10">
                  <c:v>-1798634.2699724487</c:v>
                </c:pt>
                <c:pt idx="11">
                  <c:v>-2493149.9724517916</c:v>
                </c:pt>
                <c:pt idx="12">
                  <c:v>-4868437.4655647352</c:v>
                </c:pt>
                <c:pt idx="13">
                  <c:v>-695571.42332415166</c:v>
                </c:pt>
              </c:numCache>
            </c:numRef>
          </c:val>
          <c:smooth val="0"/>
          <c:extLst>
            <c:ext xmlns:c16="http://schemas.microsoft.com/office/drawing/2014/chart" uri="{C3380CC4-5D6E-409C-BE32-E72D297353CC}">
              <c16:uniqueId val="{00000000-B9F6-479B-9D83-802B404ED047}"/>
            </c:ext>
          </c:extLst>
        </c:ser>
        <c:dLbls>
          <c:showLegendKey val="0"/>
          <c:showVal val="0"/>
          <c:showCatName val="0"/>
          <c:showSerName val="0"/>
          <c:showPercent val="0"/>
          <c:showBubbleSize val="0"/>
        </c:dLbls>
        <c:smooth val="0"/>
        <c:axId val="1627825328"/>
        <c:axId val="1625401824"/>
      </c:lineChart>
      <c:catAx>
        <c:axId val="1627825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5401824"/>
        <c:crosses val="autoZero"/>
        <c:auto val="1"/>
        <c:lblAlgn val="ctr"/>
        <c:lblOffset val="100"/>
        <c:noMultiLvlLbl val="0"/>
      </c:catAx>
      <c:valAx>
        <c:axId val="1625401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7825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Revenue Growth Tracker In Excel.xlsx]Processing!PivotTable4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Processing!$B$19</c:f>
              <c:strCache>
                <c:ptCount val="1"/>
                <c:pt idx="0">
                  <c:v>Total</c:v>
                </c:pt>
              </c:strCache>
            </c:strRef>
          </c:tx>
          <c:spPr>
            <a:solidFill>
              <a:schemeClr val="accent1"/>
            </a:solidFill>
            <a:ln>
              <a:noFill/>
            </a:ln>
            <a:effectLst/>
          </c:spPr>
          <c:invertIfNegative val="0"/>
          <c:cat>
            <c:strRef>
              <c:f>Processing!$A$20:$A$34</c:f>
              <c:strCache>
                <c:ptCount val="14"/>
                <c:pt idx="0">
                  <c:v>Ajay</c:v>
                </c:pt>
                <c:pt idx="1">
                  <c:v>harsha</c:v>
                </c:pt>
                <c:pt idx="2">
                  <c:v>karan</c:v>
                </c:pt>
                <c:pt idx="3">
                  <c:v>kishor</c:v>
                </c:pt>
                <c:pt idx="4">
                  <c:v>prabhas</c:v>
                </c:pt>
                <c:pt idx="5">
                  <c:v>Priya</c:v>
                </c:pt>
                <c:pt idx="6">
                  <c:v>Rahul</c:v>
                </c:pt>
                <c:pt idx="7">
                  <c:v>raj</c:v>
                </c:pt>
                <c:pt idx="8">
                  <c:v>ravi</c:v>
                </c:pt>
                <c:pt idx="9">
                  <c:v>sandy</c:v>
                </c:pt>
                <c:pt idx="10">
                  <c:v>sanju</c:v>
                </c:pt>
                <c:pt idx="11">
                  <c:v>Sneha</c:v>
                </c:pt>
                <c:pt idx="12">
                  <c:v>vijay</c:v>
                </c:pt>
                <c:pt idx="13">
                  <c:v>vikram</c:v>
                </c:pt>
              </c:strCache>
            </c:strRef>
          </c:cat>
          <c:val>
            <c:numRef>
              <c:f>Processing!$B$20:$B$34</c:f>
              <c:numCache>
                <c:formatCode>0%</c:formatCode>
                <c:ptCount val="14"/>
                <c:pt idx="0">
                  <c:v>-449.45454545454334</c:v>
                </c:pt>
                <c:pt idx="1">
                  <c:v>-1658.3838383838367</c:v>
                </c:pt>
                <c:pt idx="2">
                  <c:v>-98.1818181818185</c:v>
                </c:pt>
                <c:pt idx="3">
                  <c:v>-2389.0909090909049</c:v>
                </c:pt>
                <c:pt idx="4">
                  <c:v>-776.96969696969643</c:v>
                </c:pt>
                <c:pt idx="5">
                  <c:v>503.9393939393949</c:v>
                </c:pt>
                <c:pt idx="6">
                  <c:v>937.57575757575671</c:v>
                </c:pt>
                <c:pt idx="7">
                  <c:v>-1710.3030303030282</c:v>
                </c:pt>
                <c:pt idx="8">
                  <c:v>-1511.8787878787857</c:v>
                </c:pt>
                <c:pt idx="9">
                  <c:v>-2275.9595959595949</c:v>
                </c:pt>
                <c:pt idx="10">
                  <c:v>-2728.4848484848458</c:v>
                </c:pt>
                <c:pt idx="11">
                  <c:v>-946.66666666666799</c:v>
                </c:pt>
                <c:pt idx="12">
                  <c:v>-1041.8181818181802</c:v>
                </c:pt>
                <c:pt idx="13">
                  <c:v>-1625.4545454545453</c:v>
                </c:pt>
              </c:numCache>
            </c:numRef>
          </c:val>
          <c:extLst>
            <c:ext xmlns:c16="http://schemas.microsoft.com/office/drawing/2014/chart" uri="{C3380CC4-5D6E-409C-BE32-E72D297353CC}">
              <c16:uniqueId val="{00000000-C228-4AEB-ABA3-37D33B21C307}"/>
            </c:ext>
          </c:extLst>
        </c:ser>
        <c:dLbls>
          <c:showLegendKey val="0"/>
          <c:showVal val="0"/>
          <c:showCatName val="0"/>
          <c:showSerName val="0"/>
          <c:showPercent val="0"/>
          <c:showBubbleSize val="0"/>
        </c:dLbls>
        <c:gapWidth val="150"/>
        <c:overlap val="100"/>
        <c:axId val="1625402784"/>
        <c:axId val="1629947696"/>
      </c:barChart>
      <c:catAx>
        <c:axId val="1625402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9947696"/>
        <c:crosses val="autoZero"/>
        <c:auto val="1"/>
        <c:lblAlgn val="ctr"/>
        <c:lblOffset val="100"/>
        <c:noMultiLvlLbl val="0"/>
      </c:catAx>
      <c:valAx>
        <c:axId val="162994769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5402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474345</xdr:colOff>
      <xdr:row>6</xdr:row>
      <xdr:rowOff>140970</xdr:rowOff>
    </xdr:from>
    <xdr:to>
      <xdr:col>11</xdr:col>
      <xdr:colOff>485775</xdr:colOff>
      <xdr:row>15</xdr:row>
      <xdr:rowOff>142875</xdr:rowOff>
    </xdr:to>
    <xdr:sp macro="" textlink="Processing!C6">
      <xdr:nvSpPr>
        <xdr:cNvPr id="2" name="Rectangle 1">
          <a:extLst>
            <a:ext uri="{FF2B5EF4-FFF2-40B4-BE49-F238E27FC236}">
              <a16:creationId xmlns:a16="http://schemas.microsoft.com/office/drawing/2014/main" id="{C7B40813-00DA-5D1F-6B9F-CFD203B0CBC0}"/>
            </a:ext>
          </a:extLst>
        </xdr:cNvPr>
        <xdr:cNvSpPr/>
      </xdr:nvSpPr>
      <xdr:spPr>
        <a:xfrm>
          <a:off x="2912745" y="1226820"/>
          <a:ext cx="4278630" cy="163068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B6F8C969-7DF8-434C-A33B-8E8954276DD8}" type="TxLink">
            <a:rPr lang="en-US" sz="3600" b="0" i="0" u="none" strike="noStrike">
              <a:solidFill>
                <a:srgbClr val="000000"/>
              </a:solidFill>
              <a:latin typeface="Calibri"/>
              <a:ea typeface="Calibri"/>
              <a:cs typeface="Calibri"/>
            </a:rPr>
            <a:pPr algn="ctr"/>
            <a:t>-37968421.08</a:t>
          </a:fld>
          <a:endParaRPr lang="en-IN" sz="3600"/>
        </a:p>
      </xdr:txBody>
    </xdr:sp>
    <xdr:clientData/>
  </xdr:twoCellAnchor>
  <xdr:twoCellAnchor>
    <xdr:from>
      <xdr:col>4</xdr:col>
      <xdr:colOff>489585</xdr:colOff>
      <xdr:row>4</xdr:row>
      <xdr:rowOff>60960</xdr:rowOff>
    </xdr:from>
    <xdr:to>
      <xdr:col>11</xdr:col>
      <xdr:colOff>485775</xdr:colOff>
      <xdr:row>6</xdr:row>
      <xdr:rowOff>53340</xdr:rowOff>
    </xdr:to>
    <xdr:sp macro="" textlink="">
      <xdr:nvSpPr>
        <xdr:cNvPr id="3" name="Rectangle 2">
          <a:extLst>
            <a:ext uri="{FF2B5EF4-FFF2-40B4-BE49-F238E27FC236}">
              <a16:creationId xmlns:a16="http://schemas.microsoft.com/office/drawing/2014/main" id="{C6199B2A-1C8E-9522-9613-74D0E64F99A3}"/>
            </a:ext>
          </a:extLst>
        </xdr:cNvPr>
        <xdr:cNvSpPr/>
      </xdr:nvSpPr>
      <xdr:spPr>
        <a:xfrm>
          <a:off x="2927985" y="784860"/>
          <a:ext cx="4263390" cy="35433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600"/>
            <a:t>Regional Revenue</a:t>
          </a:r>
        </a:p>
        <a:p>
          <a:pPr algn="ctr"/>
          <a:endParaRPr lang="en-IN" sz="1600"/>
        </a:p>
      </xdr:txBody>
    </xdr:sp>
    <xdr:clientData/>
  </xdr:twoCellAnchor>
  <xdr:twoCellAnchor>
    <xdr:from>
      <xdr:col>19</xdr:col>
      <xdr:colOff>256904</xdr:colOff>
      <xdr:row>4</xdr:row>
      <xdr:rowOff>76201</xdr:rowOff>
    </xdr:from>
    <xdr:to>
      <xdr:col>28</xdr:col>
      <xdr:colOff>609599</xdr:colOff>
      <xdr:row>33</xdr:row>
      <xdr:rowOff>114300</xdr:rowOff>
    </xdr:to>
    <xdr:graphicFrame macro="">
      <xdr:nvGraphicFramePr>
        <xdr:cNvPr id="4" name="Chart 3">
          <a:extLst>
            <a:ext uri="{FF2B5EF4-FFF2-40B4-BE49-F238E27FC236}">
              <a16:creationId xmlns:a16="http://schemas.microsoft.com/office/drawing/2014/main" id="{A305CE8D-AFF2-4179-9F1C-E7AFF9A136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151469</xdr:colOff>
      <xdr:row>16</xdr:row>
      <xdr:rowOff>38100</xdr:rowOff>
    </xdr:from>
    <xdr:to>
      <xdr:col>7</xdr:col>
      <xdr:colOff>600074</xdr:colOff>
      <xdr:row>34</xdr:row>
      <xdr:rowOff>61683</xdr:rowOff>
    </xdr:to>
    <xdr:graphicFrame macro="">
      <xdr:nvGraphicFramePr>
        <xdr:cNvPr id="5" name="Chart 4">
          <a:extLst>
            <a:ext uri="{FF2B5EF4-FFF2-40B4-BE49-F238E27FC236}">
              <a16:creationId xmlns:a16="http://schemas.microsoft.com/office/drawing/2014/main" id="{DD3FA83E-3A2B-4A22-96DA-0BB6FE4E31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45176</xdr:colOff>
      <xdr:row>16</xdr:row>
      <xdr:rowOff>76201</xdr:rowOff>
    </xdr:from>
    <xdr:to>
      <xdr:col>16</xdr:col>
      <xdr:colOff>66675</xdr:colOff>
      <xdr:row>34</xdr:row>
      <xdr:rowOff>12519</xdr:rowOff>
    </xdr:to>
    <xdr:graphicFrame macro="">
      <xdr:nvGraphicFramePr>
        <xdr:cNvPr id="6" name="Chart 5">
          <a:extLst>
            <a:ext uri="{FF2B5EF4-FFF2-40B4-BE49-F238E27FC236}">
              <a16:creationId xmlns:a16="http://schemas.microsoft.com/office/drawing/2014/main" id="{FB876B75-D5A9-4A29-902D-452A6ED632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16</xdr:col>
      <xdr:colOff>176893</xdr:colOff>
      <xdr:row>4</xdr:row>
      <xdr:rowOff>73478</xdr:rowOff>
    </xdr:from>
    <xdr:to>
      <xdr:col>19</xdr:col>
      <xdr:colOff>198120</xdr:colOff>
      <xdr:row>33</xdr:row>
      <xdr:rowOff>142875</xdr:rowOff>
    </xdr:to>
    <mc:AlternateContent xmlns:mc="http://schemas.openxmlformats.org/markup-compatibility/2006" xmlns:a14="http://schemas.microsoft.com/office/drawing/2010/main">
      <mc:Choice Requires="a14">
        <xdr:graphicFrame macro="">
          <xdr:nvGraphicFramePr>
            <xdr:cNvPr id="7" name="Month">
              <a:extLst>
                <a:ext uri="{FF2B5EF4-FFF2-40B4-BE49-F238E27FC236}">
                  <a16:creationId xmlns:a16="http://schemas.microsoft.com/office/drawing/2014/main" id="{AF43D65C-EDFC-CEFA-6088-C615CDBDB32E}"/>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9930493" y="797378"/>
              <a:ext cx="1850027" cy="53176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47626</xdr:colOff>
      <xdr:row>4</xdr:row>
      <xdr:rowOff>85725</xdr:rowOff>
    </xdr:from>
    <xdr:to>
      <xdr:col>16</xdr:col>
      <xdr:colOff>73480</xdr:colOff>
      <xdr:row>16</xdr:row>
      <xdr:rowOff>19050</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D75B4950-88EF-FE17-01F0-E4C8402A146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362826" y="809625"/>
              <a:ext cx="2464254" cy="21050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190500</xdr:colOff>
      <xdr:row>5</xdr:row>
      <xdr:rowOff>133349</xdr:rowOff>
    </xdr:from>
    <xdr:to>
      <xdr:col>4</xdr:col>
      <xdr:colOff>123825</xdr:colOff>
      <xdr:row>13</xdr:row>
      <xdr:rowOff>123824</xdr:rowOff>
    </xdr:to>
    <xdr:sp macro="" textlink="">
      <xdr:nvSpPr>
        <xdr:cNvPr id="9" name="Arrow: Right 8">
          <a:extLst>
            <a:ext uri="{FF2B5EF4-FFF2-40B4-BE49-F238E27FC236}">
              <a16:creationId xmlns:a16="http://schemas.microsoft.com/office/drawing/2014/main" id="{98C744A9-AC9F-214F-25DA-E2A263791972}"/>
            </a:ext>
          </a:extLst>
        </xdr:cNvPr>
        <xdr:cNvSpPr/>
      </xdr:nvSpPr>
      <xdr:spPr>
        <a:xfrm>
          <a:off x="190500" y="1038224"/>
          <a:ext cx="2371725" cy="1438275"/>
        </a:xfrm>
        <a:prstGeom prst="rightArrow">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jay" refreshedDate="46124.960685069447" createdVersion="8" refreshedVersion="8" minRefreshableVersion="3" recordCount="100" xr:uid="{FDE8AA51-9FDA-47C6-A69E-7B1D6F638A7B}">
  <cacheSource type="worksheet">
    <worksheetSource name="Table1"/>
  </cacheSource>
  <cacheFields count="12">
    <cacheField name="Date" numFmtId="16">
      <sharedItems containsSemiMixedTypes="0" containsNonDate="0" containsDate="1" containsString="0" minDate="2026-01-01T00:00:00" maxDate="2026-10-06T00:00:00"/>
    </cacheField>
    <cacheField name="Month" numFmtId="0">
      <sharedItems count="23">
        <s v="Jan"/>
        <s v="feb"/>
        <s v="mar"/>
        <s v="april"/>
        <s v="may"/>
        <s v="june"/>
        <s v="july"/>
        <s v="August"/>
        <s v="sep"/>
        <s v="oct"/>
        <s v="Apr"/>
        <s v="Jun"/>
        <s v="september"/>
        <s v="october"/>
        <s v="november"/>
        <s v="nov"/>
        <s v="dec"/>
        <s v="Jul"/>
        <s v="Aug"/>
        <s v="december"/>
        <s v="january"/>
        <s v="february"/>
        <s v="march"/>
      </sharedItems>
    </cacheField>
    <cacheField name="Region" numFmtId="0">
      <sharedItems count="4">
        <s v="North"/>
        <s v="West"/>
        <s v="South"/>
        <s v="East"/>
      </sharedItems>
    </cacheField>
    <cacheField name="Sales Exec" numFmtId="0">
      <sharedItems count="14">
        <s v="Ajay"/>
        <s v="Sneha"/>
        <s v="Rahul"/>
        <s v="Priya"/>
        <s v="vijay"/>
        <s v="karan"/>
        <s v="ravi"/>
        <s v="harsha"/>
        <s v="sanju"/>
        <s v="vikram"/>
        <s v="raj"/>
        <s v="kishor"/>
        <s v="sandy"/>
        <s v="prabhas"/>
      </sharedItems>
    </cacheField>
    <cacheField name="Product Category" numFmtId="0">
      <sharedItems/>
    </cacheField>
    <cacheField name="Units Sold" numFmtId="0">
      <sharedItems containsSemiMixedTypes="0" containsString="0" containsNumber="1" minValue="10" maxValue="553.81818181818198"/>
    </cacheField>
    <cacheField name="Selling Price" numFmtId="0">
      <sharedItems containsSemiMixedTypes="0" containsString="0" containsNumber="1" minValue="-5698.1818181818098" maxValue="8000"/>
    </cacheField>
    <cacheField name="Revenue" numFmtId="0">
      <sharedItems containsSemiMixedTypes="0" containsString="0" containsNumber="1" minValue="-3155756.6942148726" maxValue="177853.22314049609"/>
    </cacheField>
    <cacheField name="Cost" numFmtId="0">
      <sharedItems containsSemiMixedTypes="0" containsString="0" containsNumber="1" minValue="-47909.090909090897" maxValue="70000"/>
    </cacheField>
    <cacheField name="Profit" numFmtId="0">
      <sharedItems containsSemiMixedTypes="0" containsString="0" containsNumber="1" minValue="-3107847.6033057817" maxValue="143986.92378328793"/>
    </cacheField>
    <cacheField name="Target sales" numFmtId="0">
      <sharedItems containsSemiMixedTypes="0" containsString="0" containsNumber="1" minValue="10" maxValue="553.81818181818198"/>
    </cacheField>
    <cacheField name="Achievement %" numFmtId="9">
      <sharedItems containsSemiMixedTypes="0" containsString="0" containsNumber="1" minValue="-5698.1818181818098" maxValue="8000"/>
    </cacheField>
  </cacheFields>
  <extLst>
    <ext xmlns:x14="http://schemas.microsoft.com/office/spreadsheetml/2009/9/main" uri="{725AE2AE-9491-48be-B2B4-4EB974FC3084}">
      <x14:pivotCacheDefinition pivotCacheId="1600288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d v="2026-01-01T00:00:00"/>
    <x v="0"/>
    <x v="0"/>
    <x v="0"/>
    <s v="Electronics"/>
    <n v="50"/>
    <n v="1200"/>
    <n v="60000"/>
    <n v="45000"/>
    <n v="15000"/>
    <n v="50"/>
    <n v="1200"/>
  </r>
  <r>
    <d v="2026-02-05T00:00:00"/>
    <x v="1"/>
    <x v="1"/>
    <x v="1"/>
    <s v="Apparel"/>
    <n v="120"/>
    <n v="500"/>
    <n v="60000"/>
    <n v="20000"/>
    <n v="40000"/>
    <n v="120"/>
    <n v="500"/>
  </r>
  <r>
    <d v="2026-03-10T00:00:00"/>
    <x v="2"/>
    <x v="2"/>
    <x v="2"/>
    <s v="Home Decor"/>
    <n v="30"/>
    <n v="2500"/>
    <n v="75000"/>
    <n v="50000"/>
    <n v="25000"/>
    <n v="30"/>
    <n v="2500"/>
  </r>
  <r>
    <d v="2026-04-15T00:00:00"/>
    <x v="3"/>
    <x v="3"/>
    <x v="3"/>
    <s v="Electronics"/>
    <n v="20"/>
    <n v="4500"/>
    <n v="90000"/>
    <n v="70000"/>
    <n v="20000"/>
    <n v="20"/>
    <n v="4500"/>
  </r>
  <r>
    <d v="2026-05-20T00:00:00"/>
    <x v="4"/>
    <x v="0"/>
    <x v="4"/>
    <s v="Home Decor"/>
    <n v="15"/>
    <n v="3000"/>
    <n v="45000"/>
    <n v="30000"/>
    <n v="15000"/>
    <n v="15"/>
    <n v="3000"/>
  </r>
  <r>
    <d v="2026-06-22T00:00:00"/>
    <x v="5"/>
    <x v="1"/>
    <x v="5"/>
    <s v="Electronics"/>
    <n v="10"/>
    <n v="8000"/>
    <n v="80000"/>
    <n v="60000"/>
    <n v="20000"/>
    <n v="10"/>
    <n v="8000"/>
  </r>
  <r>
    <d v="2026-07-25T00:00:00"/>
    <x v="6"/>
    <x v="2"/>
    <x v="6"/>
    <s v="Apparel"/>
    <n v="200"/>
    <n v="300"/>
    <n v="60000"/>
    <n v="25000"/>
    <n v="35000"/>
    <n v="200"/>
    <n v="300"/>
  </r>
  <r>
    <d v="2026-08-28T00:00:00"/>
    <x v="7"/>
    <x v="3"/>
    <x v="7"/>
    <s v="Home Decor"/>
    <n v="40"/>
    <n v="1500"/>
    <n v="60000"/>
    <n v="40000"/>
    <n v="20000"/>
    <n v="40"/>
    <n v="1500"/>
  </r>
  <r>
    <d v="2026-09-02T00:00:00"/>
    <x v="8"/>
    <x v="0"/>
    <x v="8"/>
    <s v="Electronics"/>
    <n v="55"/>
    <n v="1200"/>
    <n v="66000"/>
    <n v="49500"/>
    <n v="16500"/>
    <n v="55"/>
    <n v="1200"/>
  </r>
  <r>
    <d v="2026-10-05T00:00:00"/>
    <x v="9"/>
    <x v="1"/>
    <x v="9"/>
    <s v="Apparel"/>
    <n v="130"/>
    <n v="500"/>
    <n v="65000"/>
    <n v="22000"/>
    <n v="43000"/>
    <n v="130"/>
    <n v="500"/>
  </r>
  <r>
    <d v="2026-01-01T00:00:00"/>
    <x v="10"/>
    <x v="0"/>
    <x v="10"/>
    <s v="Electronics"/>
    <n v="95.3333333333333"/>
    <n v="1853.3333333333301"/>
    <n v="176684.44444444406"/>
    <n v="35966.666666666701"/>
    <n v="140717.77777777734"/>
    <n v="95.3333333333333"/>
    <n v="1853.3333333333298"/>
  </r>
  <r>
    <d v="2026-02-05T00:00:00"/>
    <x v="4"/>
    <x v="1"/>
    <x v="11"/>
    <s v="Apparel"/>
    <n v="100.484848484849"/>
    <n v="1768.4848484848501"/>
    <n v="177705.9320477513"/>
    <n v="35024.242424242402"/>
    <n v="142681.68962350889"/>
    <n v="100.484848484849"/>
    <n v="1768.4848484848501"/>
  </r>
  <r>
    <d v="2026-03-10T00:00:00"/>
    <x v="11"/>
    <x v="2"/>
    <x v="12"/>
    <s v="Home Decor"/>
    <n v="105.636363636364"/>
    <n v="1683.6363636363601"/>
    <n v="177853.22314049609"/>
    <n v="34081.818181818198"/>
    <n v="143771.40495867789"/>
    <n v="105.636363636364"/>
    <n v="1683.6363636363601"/>
  </r>
  <r>
    <d v="2026-04-15T00:00:00"/>
    <x v="7"/>
    <x v="3"/>
    <x v="13"/>
    <s v="Electronics"/>
    <n v="110.787878787879"/>
    <n v="1598.7878787878799"/>
    <n v="177126.31772268182"/>
    <n v="33139.3939393939"/>
    <n v="143986.92378328793"/>
    <n v="110.787878787879"/>
    <n v="1598.7878787878799"/>
  </r>
  <r>
    <d v="2026-05-20T00:00:00"/>
    <x v="12"/>
    <x v="0"/>
    <x v="0"/>
    <s v="Home Decor"/>
    <n v="115.93939393939399"/>
    <n v="1513.9393939393899"/>
    <n v="175525.21579430631"/>
    <n v="32196.9696969697"/>
    <n v="143328.24609733661"/>
    <n v="115.93939393939398"/>
    <n v="1513.9393939393899"/>
  </r>
  <r>
    <d v="2026-06-22T00:00:00"/>
    <x v="13"/>
    <x v="1"/>
    <x v="1"/>
    <s v="Electronics"/>
    <n v="121.09090909090899"/>
    <n v="1429.0909090909099"/>
    <n v="173049.91735537187"/>
    <n v="31254.5454545455"/>
    <n v="141795.37190082637"/>
    <n v="121.09090909090899"/>
    <n v="1429.0909090909099"/>
  </r>
  <r>
    <d v="2026-07-25T00:00:00"/>
    <x v="14"/>
    <x v="2"/>
    <x v="2"/>
    <s v="Apparel"/>
    <n v="126.24242424242399"/>
    <n v="1344.2424242424199"/>
    <n v="169700.42240587607"/>
    <n v="30312.121212121201"/>
    <n v="139388.30119375489"/>
    <n v="126.24242424242399"/>
    <n v="1344.2424242424199"/>
  </r>
  <r>
    <d v="2026-08-28T00:00:00"/>
    <x v="15"/>
    <x v="3"/>
    <x v="3"/>
    <s v="Home Decor"/>
    <n v="131.39393939393901"/>
    <n v="1259.3939393939399"/>
    <n v="165476.73094582144"/>
    <n v="29369.696969697001"/>
    <n v="136107.03397612445"/>
    <n v="131.39393939393901"/>
    <n v="1259.3939393939399"/>
  </r>
  <r>
    <d v="2026-09-02T00:00:00"/>
    <x v="16"/>
    <x v="0"/>
    <x v="4"/>
    <s v="Electronics"/>
    <n v="136.54545454545499"/>
    <n v="1174.54545454545"/>
    <n v="160378.8429752065"/>
    <n v="28427.272727272699"/>
    <n v="131951.57024793379"/>
    <n v="136.54545454545499"/>
    <n v="1174.54545454545"/>
  </r>
  <r>
    <d v="2026-10-05T00:00:00"/>
    <x v="0"/>
    <x v="1"/>
    <x v="5"/>
    <s v="Apparel"/>
    <n v="141.69696969697"/>
    <n v="1089.69696969697"/>
    <n v="154406.75849403159"/>
    <n v="27484.848484848499"/>
    <n v="126921.91000918309"/>
    <n v="141.69696969697"/>
    <n v="1089.69696969697"/>
  </r>
  <r>
    <d v="2026-01-01T00:00:00"/>
    <x v="17"/>
    <x v="0"/>
    <x v="6"/>
    <s v="Electronics"/>
    <n v="146.84848484848499"/>
    <n v="1004.84848484848"/>
    <n v="147560.47750229511"/>
    <n v="26542.424242424298"/>
    <n v="121018.05325987081"/>
    <n v="146.84848484848499"/>
    <n v="1004.84848484848"/>
  </r>
  <r>
    <d v="2026-02-05T00:00:00"/>
    <x v="18"/>
    <x v="1"/>
    <x v="7"/>
    <s v="Apparel"/>
    <n v="152"/>
    <n v="920.00000000000205"/>
    <n v="139840.00000000032"/>
    <n v="25600"/>
    <n v="114240.00000000032"/>
    <n v="152"/>
    <n v="920.00000000000216"/>
  </r>
  <r>
    <d v="2026-03-10T00:00:00"/>
    <x v="8"/>
    <x v="2"/>
    <x v="8"/>
    <s v="Home Decor"/>
    <n v="157.15151515151501"/>
    <n v="835.15151515151194"/>
    <n v="131245.32598714356"/>
    <n v="24657.5757575758"/>
    <n v="106587.75022956776"/>
    <n v="157.15151515151501"/>
    <n v="835.15151515151194"/>
  </r>
  <r>
    <d v="2026-04-15T00:00:00"/>
    <x v="19"/>
    <x v="3"/>
    <x v="9"/>
    <s v="Electronics"/>
    <n v="162.30303030303"/>
    <n v="750.30303030303196"/>
    <n v="121776.45546372823"/>
    <n v="23715.151515151501"/>
    <n v="98061.303948576722"/>
    <n v="162.30303030303"/>
    <n v="750.30303030303196"/>
  </r>
  <r>
    <d v="2026-05-20T00:00:00"/>
    <x v="20"/>
    <x v="0"/>
    <x v="10"/>
    <s v="Home Decor"/>
    <n v="167.45454545454601"/>
    <n v="665.45454545455198"/>
    <n v="111433.38842975353"/>
    <n v="22772.727272727301"/>
    <n v="88660.661157026218"/>
    <n v="167.45454545454601"/>
    <n v="665.45454545455198"/>
  </r>
  <r>
    <d v="2026-06-22T00:00:00"/>
    <x v="21"/>
    <x v="1"/>
    <x v="11"/>
    <s v="Electronics"/>
    <n v="172.60606060606099"/>
    <n v="580.60606060606096"/>
    <n v="100216.12488521608"/>
    <n v="21830.303030302999"/>
    <n v="78385.821854913083"/>
    <n v="172.60606060606099"/>
    <n v="580.60606060606096"/>
  </r>
  <r>
    <d v="2026-07-25T00:00:00"/>
    <x v="22"/>
    <x v="2"/>
    <x v="12"/>
    <s v="Apparel"/>
    <n v="177.75757575757601"/>
    <n v="495.75757575758098"/>
    <n v="88124.664830120426"/>
    <n v="20887.878787878799"/>
    <n v="67236.786042241627"/>
    <n v="177.75757575757601"/>
    <n v="495.75757575758098"/>
  </r>
  <r>
    <d v="2026-08-28T00:00:00"/>
    <x v="1"/>
    <x v="3"/>
    <x v="13"/>
    <s v="Home Decor"/>
    <n v="182.90909090909099"/>
    <n v="410.90909090909099"/>
    <n v="75159.008264462856"/>
    <n v="19945.454545454599"/>
    <n v="55213.553719008254"/>
    <n v="182.90909090909099"/>
    <n v="410.90909090909099"/>
  </r>
  <r>
    <d v="2026-09-02T00:00:00"/>
    <x v="2"/>
    <x v="0"/>
    <x v="0"/>
    <s v="Electronics"/>
    <n v="188.06060606060601"/>
    <n v="326.06060606061101"/>
    <n v="61319.155188247008"/>
    <n v="19003.0303030303"/>
    <n v="42316.124885216705"/>
    <n v="188.06060606060601"/>
    <n v="326.06060606061101"/>
  </r>
  <r>
    <d v="2026-10-05T00:00:00"/>
    <x v="10"/>
    <x v="1"/>
    <x v="1"/>
    <s v="Apparel"/>
    <n v="193.21212121212099"/>
    <n v="241.21212121212099"/>
    <n v="46605.105601469142"/>
    <n v="18060.6060606061"/>
    <n v="28544.499540863042"/>
    <n v="193.21212121212099"/>
    <n v="241.21212121212099"/>
  </r>
  <r>
    <d v="2026-01-01T00:00:00"/>
    <x v="9"/>
    <x v="0"/>
    <x v="2"/>
    <s v="Electronics"/>
    <n v="198.363636363637"/>
    <n v="156.36363636364101"/>
    <n v="31016.859504133252"/>
    <n v="17118.181818181802"/>
    <n v="13898.67768595145"/>
    <n v="198.363636363637"/>
    <n v="156.36363636364101"/>
  </r>
  <r>
    <d v="2026-02-05T00:00:00"/>
    <x v="15"/>
    <x v="1"/>
    <x v="3"/>
    <s v="Apparel"/>
    <n v="203.51515151515201"/>
    <n v="71.515151515151501"/>
    <n v="14554.41689623511"/>
    <n v="16175.7575757576"/>
    <n v="-1621.3406795224892"/>
    <n v="203.51515151515201"/>
    <n v="71.515151515151501"/>
  </r>
  <r>
    <d v="2026-03-10T00:00:00"/>
    <x v="16"/>
    <x v="2"/>
    <x v="4"/>
    <s v="Home Decor"/>
    <n v="208.666666666667"/>
    <n v="-13.3333333333285"/>
    <n v="-2782.2222222212181"/>
    <n v="15233.333333333299"/>
    <n v="-18015.555555554518"/>
    <n v="208.666666666667"/>
    <n v="-13.3333333333285"/>
  </r>
  <r>
    <d v="2026-04-15T00:00:00"/>
    <x v="3"/>
    <x v="3"/>
    <x v="5"/>
    <s v="Electronics"/>
    <n v="213.81818181818201"/>
    <n v="-98.1818181818185"/>
    <n v="-20993.057851239755"/>
    <n v="14290.909090909099"/>
    <n v="-35283.966942148851"/>
    <n v="213.81818181818201"/>
    <n v="-98.1818181818185"/>
  </r>
  <r>
    <d v="2026-05-20T00:00:00"/>
    <x v="4"/>
    <x v="0"/>
    <x v="6"/>
    <s v="Home Decor"/>
    <n v="218.969696969697"/>
    <n v="-183.030303030298"/>
    <n v="-40078.089990816166"/>
    <n v="13348.484848484901"/>
    <n v="-53426.574839301065"/>
    <n v="218.969696969697"/>
    <n v="-183.030303030298"/>
  </r>
  <r>
    <d v="2026-06-22T00:00:00"/>
    <x v="5"/>
    <x v="1"/>
    <x v="7"/>
    <s v="Electronics"/>
    <n v="224.12121212121201"/>
    <n v="-267.87878787878799"/>
    <n v="-60037.318640954996"/>
    <n v="12406.060606060601"/>
    <n v="-72443.379247015604"/>
    <n v="224.12121212121201"/>
    <n v="-267.87878787878799"/>
  </r>
  <r>
    <d v="2026-07-25T00:00:00"/>
    <x v="6"/>
    <x v="2"/>
    <x v="8"/>
    <s v="Apparel"/>
    <n v="229.272727272727"/>
    <n v="-352.72727272726797"/>
    <n v="-80870.743801651712"/>
    <n v="11463.6363636364"/>
    <n v="-92334.380165288108"/>
    <n v="229.27272727272702"/>
    <n v="-352.72727272726797"/>
  </r>
  <r>
    <d v="2026-08-28T00:00:00"/>
    <x v="4"/>
    <x v="3"/>
    <x v="9"/>
    <s v="Home Decor"/>
    <n v="234.424242424243"/>
    <n v="-437.57575757575802"/>
    <n v="-102578.36547291129"/>
    <n v="10521.2121212121"/>
    <n v="-113099.57759412339"/>
    <n v="234.424242424243"/>
    <n v="-437.57575757575802"/>
  </r>
  <r>
    <d v="2026-09-02T00:00:00"/>
    <x v="11"/>
    <x v="0"/>
    <x v="10"/>
    <s v="Electronics"/>
    <n v="239.57575757575799"/>
    <n v="-522.42424242423795"/>
    <n v="-125160.18365472826"/>
    <n v="9578.7878787878908"/>
    <n v="-134738.97153351616"/>
    <n v="239.57575757575799"/>
    <n v="-522.42424242423795"/>
  </r>
  <r>
    <d v="2026-10-05T00:00:00"/>
    <x v="17"/>
    <x v="1"/>
    <x v="11"/>
    <s v="Apparel"/>
    <n v="244.727272727273"/>
    <n v="-607.27272727272805"/>
    <n v="-148616.1983471078"/>
    <n v="8636.3636363636906"/>
    <n v="-157252.5619834715"/>
    <n v="244.727272727273"/>
    <n v="-607.27272727272805"/>
  </r>
  <r>
    <d v="2026-01-01T00:00:00"/>
    <x v="0"/>
    <x v="0"/>
    <x v="12"/>
    <s v="Electronics"/>
    <n v="249.87878787878799"/>
    <n v="-692.12121212120803"/>
    <n v="-172946.40955004498"/>
    <n v="7693.9393939393804"/>
    <n v="-180640.34894398437"/>
    <n v="249.87878787878799"/>
    <n v="-692.12121212120803"/>
  </r>
  <r>
    <d v="2026-02-05T00:00:00"/>
    <x v="1"/>
    <x v="1"/>
    <x v="13"/>
    <s v="Apparel"/>
    <n v="255.030303030303"/>
    <n v="-776.96969696969802"/>
    <n v="-198150.81726354477"/>
    <n v="6751.5151515151902"/>
    <n v="-204902.33241505997"/>
    <n v="255.03030303030297"/>
    <n v="-776.96969696969802"/>
  </r>
  <r>
    <d v="2026-03-10T00:00:00"/>
    <x v="2"/>
    <x v="2"/>
    <x v="0"/>
    <s v="Home Decor"/>
    <n v="260.18181818181802"/>
    <n v="-861.818181818178"/>
    <n v="-224229.42148760217"/>
    <n v="5809.0909090908899"/>
    <n v="-230038.51239669306"/>
    <n v="260.18181818181802"/>
    <n v="-861.818181818178"/>
  </r>
  <r>
    <d v="2026-04-15T00:00:00"/>
    <x v="7"/>
    <x v="3"/>
    <x v="1"/>
    <s v="Electronics"/>
    <n v="265.33333333333297"/>
    <n v="-946.66666666666799"/>
    <n v="-251182.22222222222"/>
    <n v="4866.6666666666897"/>
    <n v="-256048.88888888891"/>
    <n v="265.33333333333297"/>
    <n v="-946.66666666666799"/>
  </r>
  <r>
    <d v="2026-05-20T00:00:00"/>
    <x v="12"/>
    <x v="0"/>
    <x v="2"/>
    <s v="Home Decor"/>
    <n v="270.48484848484901"/>
    <n v="-1031.5151515151499"/>
    <n v="-279009.21946740139"/>
    <n v="3924.2424242423899"/>
    <n v="-282933.46189164376"/>
    <n v="270.48484848484901"/>
    <n v="-1031.5151515151499"/>
  </r>
  <r>
    <d v="2026-06-22T00:00:00"/>
    <x v="13"/>
    <x v="1"/>
    <x v="3"/>
    <s v="Electronics"/>
    <n v="275.63636363636402"/>
    <n v="-1116.3636363636399"/>
    <n v="-307710.41322314192"/>
    <n v="2981.8181818181902"/>
    <n v="-310692.2314049601"/>
    <n v="275.63636363636402"/>
    <n v="-1116.3636363636399"/>
  </r>
  <r>
    <d v="2026-07-25T00:00:00"/>
    <x v="14"/>
    <x v="2"/>
    <x v="4"/>
    <s v="Apparel"/>
    <n v="280.78787878787898"/>
    <n v="-1201.2121212121201"/>
    <n v="-337285.80348943977"/>
    <n v="2039.39393939399"/>
    <n v="-339325.19742883375"/>
    <n v="280.78787878787898"/>
    <n v="-1201.2121212121201"/>
  </r>
  <r>
    <d v="2026-08-28T00:00:00"/>
    <x v="18"/>
    <x v="3"/>
    <x v="5"/>
    <s v="Home Decor"/>
    <n v="285.93939393939399"/>
    <n v="-1286.0606060606001"/>
    <n v="-367735.39026629773"/>
    <n v="1096.9696969696899"/>
    <n v="-368832.3599632674"/>
    <n v="285.93939393939399"/>
    <n v="-1286.0606060606001"/>
  </r>
  <r>
    <d v="2026-09-02T00:00:00"/>
    <x v="8"/>
    <x v="0"/>
    <x v="6"/>
    <s v="Electronics"/>
    <n v="291.09090909090901"/>
    <n v="-1370.9090909090901"/>
    <n v="-399059.17355371866"/>
    <n v="154.545454545485"/>
    <n v="-399213.71900826413"/>
    <n v="291.09090909090901"/>
    <n v="-1370.9090909090901"/>
  </r>
  <r>
    <d v="2026-10-05T00:00:00"/>
    <x v="9"/>
    <x v="1"/>
    <x v="7"/>
    <s v="Apparel"/>
    <n v="296.24242424242402"/>
    <n v="-1455.7575757575701"/>
    <n v="-431257.15335169679"/>
    <n v="-787.878787878813"/>
    <n v="-430469.27456381801"/>
    <n v="296.24242424242402"/>
    <n v="-1455.7575757575701"/>
  </r>
  <r>
    <d v="2026-01-01T00:00:00"/>
    <x v="10"/>
    <x v="0"/>
    <x v="8"/>
    <s v="Electronics"/>
    <n v="301.39393939394"/>
    <n v="-1540.6060606060601"/>
    <n v="-464329.32966023951"/>
    <n v="-1730.30303030301"/>
    <n v="-462599.02662993653"/>
    <n v="301.39393939394"/>
    <n v="-1540.6060606060601"/>
  </r>
  <r>
    <d v="2026-02-05T00:00:00"/>
    <x v="4"/>
    <x v="1"/>
    <x v="9"/>
    <s v="Apparel"/>
    <n v="306.54545454545502"/>
    <n v="-1625.45454545454"/>
    <n v="-498275.70247933792"/>
    <n v="-2672.7272727273098"/>
    <n v="-495602.97520661063"/>
    <n v="306.54545454545502"/>
    <n v="-1625.45454545454"/>
  </r>
  <r>
    <d v="2026-03-10T00:00:00"/>
    <x v="11"/>
    <x v="2"/>
    <x v="10"/>
    <s v="Home Decor"/>
    <n v="311.69696969696997"/>
    <n v="-1710.30303030303"/>
    <n v="-533096.27180899947"/>
    <n v="-3615.15151515151"/>
    <n v="-529481.12029384798"/>
    <n v="311.69696969696997"/>
    <n v="-1710.30303030303"/>
  </r>
  <r>
    <d v="2026-04-15T00:00:00"/>
    <x v="19"/>
    <x v="3"/>
    <x v="11"/>
    <s v="Electronics"/>
    <n v="316.84848484848499"/>
    <n v="-1795.15151515151"/>
    <n v="-568791.03764921811"/>
    <n v="-4557.5757575757098"/>
    <n v="-564233.46189164242"/>
    <n v="316.84848484848499"/>
    <n v="-1795.15151515151"/>
  </r>
  <r>
    <d v="2026-05-20T00:00:00"/>
    <x v="20"/>
    <x v="0"/>
    <x v="12"/>
    <s v="Home Decor"/>
    <n v="322"/>
    <n v="-1880"/>
    <n v="-605360"/>
    <n v="-5500.00000000001"/>
    <n v="-599860"/>
    <n v="322"/>
    <n v="-1880"/>
  </r>
  <r>
    <d v="2026-06-22T00:00:00"/>
    <x v="21"/>
    <x v="1"/>
    <x v="13"/>
    <s v="Electronics"/>
    <n v="327.15151515151501"/>
    <n v="-1964.84848484848"/>
    <n v="-642803.15886133886"/>
    <n v="-6442.4242424242102"/>
    <n v="-636360.73461891466"/>
    <n v="327.15151515151501"/>
    <n v="-1964.8484848484802"/>
  </r>
  <r>
    <d v="2026-07-25T00:00:00"/>
    <x v="22"/>
    <x v="2"/>
    <x v="0"/>
    <s v="Apparel"/>
    <n v="332.30303030303003"/>
    <n v="-2049.69696969697"/>
    <n v="-681120.51423324109"/>
    <n v="-7384.8484848485105"/>
    <n v="-673735.66574839258"/>
    <n v="332.30303030303003"/>
    <n v="-2049.69696969697"/>
  </r>
  <r>
    <d v="2026-08-28T00:00:00"/>
    <x v="15"/>
    <x v="3"/>
    <x v="1"/>
    <s v="Home Decor"/>
    <n v="337.45454545454601"/>
    <n v="-2134.54545454545"/>
    <n v="-720312.06611570215"/>
    <n v="-8327.2727272727097"/>
    <n v="-711984.79338842945"/>
    <n v="337.45454545454601"/>
    <n v="-2134.54545454545"/>
  </r>
  <r>
    <d v="2026-09-02T00:00:00"/>
    <x v="16"/>
    <x v="0"/>
    <x v="2"/>
    <s v="Electronics"/>
    <n v="342.60606060606102"/>
    <n v="-2219.3939393939399"/>
    <n v="-760377.81450872472"/>
    <n v="-9269.6969696969099"/>
    <n v="-751108.11753902782"/>
    <n v="342.60606060606102"/>
    <n v="-2219.3939393939399"/>
  </r>
  <r>
    <d v="2026-10-05T00:00:00"/>
    <x v="0"/>
    <x v="1"/>
    <x v="3"/>
    <s v="Apparel"/>
    <n v="347.75757575757598"/>
    <n v="-2304.2424242424199"/>
    <n v="-801317.75941230392"/>
    <n v="-10212.121212121199"/>
    <n v="-791105.6382001827"/>
    <n v="347.75757575757598"/>
    <n v="-2304.2424242424199"/>
  </r>
  <r>
    <d v="2026-01-01T00:00:00"/>
    <x v="17"/>
    <x v="0"/>
    <x v="4"/>
    <s v="Electronics"/>
    <n v="352.90909090909099"/>
    <n v="-2389.0909090909099"/>
    <n v="-843131.90082644683"/>
    <n v="-11154.545454545399"/>
    <n v="-831977.35537190142"/>
    <n v="352.90909090909099"/>
    <n v="-2389.0909090909099"/>
  </r>
  <r>
    <d v="2026-02-05T00:00:00"/>
    <x v="18"/>
    <x v="1"/>
    <x v="5"/>
    <s v="Apparel"/>
    <n v="358.06060606060601"/>
    <n v="-2473.9393939393899"/>
    <n v="-885820.23875114624"/>
    <n v="-12096.9696969697"/>
    <n v="-873723.26905417652"/>
    <n v="358.06060606060601"/>
    <n v="-2473.9393939393899"/>
  </r>
  <r>
    <d v="2026-03-10T00:00:00"/>
    <x v="8"/>
    <x v="2"/>
    <x v="6"/>
    <s v="Home Decor"/>
    <n v="363.21212121212102"/>
    <n v="-2558.7878787878799"/>
    <n v="-929382.7731864095"/>
    <n v="-13039.3939393939"/>
    <n v="-916343.37924701557"/>
    <n v="363.21212121212102"/>
    <n v="-2558.7878787878799"/>
  </r>
  <r>
    <d v="2026-04-15T00:00:00"/>
    <x v="3"/>
    <x v="3"/>
    <x v="7"/>
    <s v="Electronics"/>
    <n v="368.363636363637"/>
    <n v="-2643.6363636363599"/>
    <n v="-973819.5041322317"/>
    <n v="-13981.8181818182"/>
    <n v="-959837.68595041346"/>
    <n v="368.363636363637"/>
    <n v="-2643.6363636363599"/>
  </r>
  <r>
    <d v="2026-05-20T00:00:00"/>
    <x v="4"/>
    <x v="0"/>
    <x v="8"/>
    <s v="Home Decor"/>
    <n v="373.51515151515201"/>
    <n v="-2728.4848484848499"/>
    <n v="-1019130.4315886153"/>
    <n v="-14924.2424242424"/>
    <n v="-1004206.1891643729"/>
    <n v="373.51515151515201"/>
    <n v="-2728.4848484848499"/>
  </r>
  <r>
    <d v="2026-06-22T00:00:00"/>
    <x v="5"/>
    <x v="1"/>
    <x v="9"/>
    <s v="Electronics"/>
    <n v="378.66666666666703"/>
    <n v="-2813.3333333333298"/>
    <n v="-1065315.5555555553"/>
    <n v="-15866.666666666601"/>
    <n v="-1049448.8888888888"/>
    <n v="378.66666666666703"/>
    <n v="-2813.3333333333298"/>
  </r>
  <r>
    <d v="2026-07-25T00:00:00"/>
    <x v="6"/>
    <x v="2"/>
    <x v="10"/>
    <s v="Apparel"/>
    <n v="383.81818181818198"/>
    <n v="-2898.1818181818198"/>
    <n v="-1112374.8760330589"/>
    <n v="-16809.090909090901"/>
    <n v="-1095565.785123968"/>
    <n v="383.81818181818193"/>
    <n v="-2898.1818181818198"/>
  </r>
  <r>
    <d v="2026-08-28T00:00:00"/>
    <x v="1"/>
    <x v="3"/>
    <x v="11"/>
    <s v="Home Decor"/>
    <n v="388.969696969697"/>
    <n v="-2983.0303030302998"/>
    <n v="-1160308.3930211191"/>
    <n v="-17751.515151515101"/>
    <n v="-1142556.8778696039"/>
    <n v="388.969696969697"/>
    <n v="-2983.0303030302998"/>
  </r>
  <r>
    <d v="2026-09-02T00:00:00"/>
    <x v="2"/>
    <x v="0"/>
    <x v="12"/>
    <s v="Electronics"/>
    <n v="394.12121212121201"/>
    <n v="-3067.8787878787898"/>
    <n v="-1209116.1065197433"/>
    <n v="-18693.939393939399"/>
    <n v="-1190422.1671258039"/>
    <n v="394.12121212121201"/>
    <n v="-3067.8787878787898"/>
  </r>
  <r>
    <d v="2026-10-05T00:00:00"/>
    <x v="10"/>
    <x v="1"/>
    <x v="13"/>
    <s v="Apparel"/>
    <n v="399.27272727272702"/>
    <n v="-3152.7272727272698"/>
    <n v="-1258798.0165289238"/>
    <n v="-19636.3636363636"/>
    <n v="-1239161.6528925602"/>
    <n v="399.27272727272708"/>
    <n v="-3152.7272727272698"/>
  </r>
  <r>
    <d v="2026-01-01T00:00:00"/>
    <x v="9"/>
    <x v="0"/>
    <x v="0"/>
    <s v="Electronics"/>
    <n v="404.424242424243"/>
    <n v="-3237.5757575757598"/>
    <n v="-1309354.1230486713"/>
    <n v="-20578.787878787902"/>
    <n v="-1288775.3351698834"/>
    <n v="404.424242424243"/>
    <n v="-3237.5757575757598"/>
  </r>
  <r>
    <d v="2026-02-05T00:00:00"/>
    <x v="15"/>
    <x v="1"/>
    <x v="1"/>
    <s v="Apparel"/>
    <n v="409.57575757575802"/>
    <n v="-3322.4242424242402"/>
    <n v="-1360784.4260789722"/>
    <n v="-21521.212121212098"/>
    <n v="-1339263.21395776"/>
    <n v="409.57575757575802"/>
    <n v="-3322.4242424242402"/>
  </r>
  <r>
    <d v="2026-03-10T00:00:00"/>
    <x v="16"/>
    <x v="2"/>
    <x v="2"/>
    <s v="Home Decor"/>
    <n v="414.72727272727298"/>
    <n v="-3407.2727272727202"/>
    <n v="-1413088.9256198327"/>
    <n v="-22463.636363636298"/>
    <n v="-1390625.2892561965"/>
    <n v="414.72727272727298"/>
    <n v="-3407.2727272727202"/>
  </r>
  <r>
    <d v="2026-04-15T00:00:00"/>
    <x v="7"/>
    <x v="3"/>
    <x v="3"/>
    <s v="Electronics"/>
    <n v="419.87878787878799"/>
    <n v="-3492.1212121212102"/>
    <n v="-1466267.6216712575"/>
    <n v="-23406.060606060601"/>
    <n v="-1442861.561065197"/>
    <n v="419.87878787878799"/>
    <n v="-3492.1212121212102"/>
  </r>
  <r>
    <d v="2026-05-20T00:00:00"/>
    <x v="12"/>
    <x v="0"/>
    <x v="4"/>
    <s v="Home Decor"/>
    <n v="425.030303030303"/>
    <n v="-3576.9696969696902"/>
    <n v="-1520320.5142332385"/>
    <n v="-24348.484848484801"/>
    <n v="-1495972.0293847537"/>
    <n v="425.030303030303"/>
    <n v="-3576.9696969696902"/>
  </r>
  <r>
    <d v="2026-06-22T00:00:00"/>
    <x v="13"/>
    <x v="1"/>
    <x v="5"/>
    <s v="Electronics"/>
    <n v="430.18181818181802"/>
    <n v="-3661.8181818181802"/>
    <n v="-1575247.6033057838"/>
    <n v="-25290.909090909099"/>
    <n v="-1549956.6942148746"/>
    <n v="430.18181818181802"/>
    <n v="-3661.8181818181802"/>
  </r>
  <r>
    <d v="2026-07-25T00:00:00"/>
    <x v="14"/>
    <x v="2"/>
    <x v="6"/>
    <s v="Apparel"/>
    <n v="435.33333333333297"/>
    <n v="-3746.6666666666601"/>
    <n v="-1631048.8888888848"/>
    <n v="-26233.333333333299"/>
    <n v="-1604815.5555555515"/>
    <n v="435.33333333333297"/>
    <n v="-3746.6666666666601"/>
  </r>
  <r>
    <d v="2026-08-28T00:00:00"/>
    <x v="4"/>
    <x v="3"/>
    <x v="7"/>
    <s v="Home Decor"/>
    <n v="440.48484848484901"/>
    <n v="-3831.5151515151501"/>
    <n v="-1687724.3709825543"/>
    <n v="-27175.757575757601"/>
    <n v="-1660548.6134067967"/>
    <n v="440.48484848484901"/>
    <n v="-3831.5151515151501"/>
  </r>
  <r>
    <d v="2026-09-02T00:00:00"/>
    <x v="11"/>
    <x v="0"/>
    <x v="8"/>
    <s v="Electronics"/>
    <n v="445.63636363636402"/>
    <n v="-3916.3636363636301"/>
    <n v="-1745274.0495867755"/>
    <n v="-28118.181818181802"/>
    <n v="-1717155.8677685936"/>
    <n v="445.63636363636397"/>
    <n v="-3916.3636363636306"/>
  </r>
  <r>
    <d v="2026-10-05T00:00:00"/>
    <x v="17"/>
    <x v="1"/>
    <x v="9"/>
    <s v="Apparel"/>
    <n v="450.78787878787898"/>
    <n v="-4001.2121212121201"/>
    <n v="-1803697.9247015615"/>
    <n v="-29060.606060605998"/>
    <n v="-1774637.3186409555"/>
    <n v="450.78787878787898"/>
    <n v="-4001.2121212121206"/>
  </r>
  <r>
    <d v="2026-01-01T00:00:00"/>
    <x v="0"/>
    <x v="0"/>
    <x v="10"/>
    <s v="Electronics"/>
    <n v="455.93939393939399"/>
    <n v="-4086.0606060606001"/>
    <n v="-1862995.9963269029"/>
    <n v="-30003.0303030303"/>
    <n v="-1832992.9660238726"/>
    <n v="455.93939393939399"/>
    <n v="-4086.0606060606001"/>
  </r>
  <r>
    <d v="2026-02-05T00:00:00"/>
    <x v="1"/>
    <x v="1"/>
    <x v="11"/>
    <s v="Apparel"/>
    <n v="461.09090909090901"/>
    <n v="-4170.9090909090901"/>
    <n v="-1923168.2644628091"/>
    <n v="-30945.4545454545"/>
    <n v="-1892222.8099173545"/>
    <n v="461.09090909090901"/>
    <n v="-4170.9090909090901"/>
  </r>
  <r>
    <d v="2026-03-10T00:00:00"/>
    <x v="2"/>
    <x v="2"/>
    <x v="12"/>
    <s v="Home Decor"/>
    <n v="466.24242424242402"/>
    <n v="-4255.7575757575696"/>
    <n v="-1984214.7291092707"/>
    <n v="-31887.878787878799"/>
    <n v="-1952326.8503213918"/>
    <n v="466.24242424242402"/>
    <n v="-4255.7575757575696"/>
  </r>
  <r>
    <d v="2026-04-15T00:00:00"/>
    <x v="19"/>
    <x v="3"/>
    <x v="13"/>
    <s v="Electronics"/>
    <n v="471.39393939394"/>
    <n v="-4340.6060606060601"/>
    <n v="-2046135.3902663018"/>
    <n v="-32830.303030303003"/>
    <n v="-2013305.0872359988"/>
    <n v="471.39393939394"/>
    <n v="-4340.6060606060601"/>
  </r>
  <r>
    <d v="2026-05-20T00:00:00"/>
    <x v="20"/>
    <x v="0"/>
    <x v="0"/>
    <s v="Home Decor"/>
    <n v="476.54545454545502"/>
    <n v="-4425.4545454545396"/>
    <n v="-2108930.2479338837"/>
    <n v="-33772.727272727301"/>
    <n v="-2075157.5206611564"/>
    <n v="476.54545454545502"/>
    <n v="-4425.4545454545396"/>
  </r>
  <r>
    <d v="2026-06-22T00:00:00"/>
    <x v="21"/>
    <x v="1"/>
    <x v="1"/>
    <s v="Electronics"/>
    <n v="481.69696969696997"/>
    <n v="-4510.30303030303"/>
    <n v="-2172599.3021120303"/>
    <n v="-34715.151515151498"/>
    <n v="-2137884.150596879"/>
    <n v="481.69696969696992"/>
    <n v="-4510.30303030303"/>
  </r>
  <r>
    <d v="2026-07-25T00:00:00"/>
    <x v="22"/>
    <x v="2"/>
    <x v="2"/>
    <s v="Apparel"/>
    <n v="486.84848484848499"/>
    <n v="-4595.1515151515096"/>
    <n v="-2237142.5528007327"/>
    <n v="-35657.575757575702"/>
    <n v="-2201484.977043157"/>
    <n v="486.84848484848504"/>
    <n v="-4595.1515151515096"/>
  </r>
  <r>
    <d v="2026-08-28T00:00:00"/>
    <x v="18"/>
    <x v="3"/>
    <x v="3"/>
    <s v="Home Decor"/>
    <n v="492"/>
    <n v="-4680"/>
    <n v="-2302560"/>
    <n v="-36600"/>
    <n v="-2265960"/>
    <n v="492"/>
    <n v="-4680"/>
  </r>
  <r>
    <d v="2026-09-02T00:00:00"/>
    <x v="8"/>
    <x v="0"/>
    <x v="4"/>
    <s v="Electronics"/>
    <n v="497.15151515151501"/>
    <n v="-4764.8484848484804"/>
    <n v="-2368851.6437098226"/>
    <n v="-37542.424242424197"/>
    <n v="-2331309.2194673982"/>
    <n v="497.15151515151501"/>
    <n v="-4764.8484848484804"/>
  </r>
  <r>
    <d v="2026-10-05T00:00:00"/>
    <x v="9"/>
    <x v="1"/>
    <x v="5"/>
    <s v="Apparel"/>
    <n v="502.30303030303003"/>
    <n v="-4849.69696969697"/>
    <n v="-2436017.4839302101"/>
    <n v="-38484.848484848502"/>
    <n v="-2397532.6354453615"/>
    <n v="502.30303030303003"/>
    <n v="-4849.69696969697"/>
  </r>
  <r>
    <d v="2026-01-01T00:00:00"/>
    <x v="10"/>
    <x v="0"/>
    <x v="6"/>
    <s v="Electronics"/>
    <n v="507.45454545454601"/>
    <n v="-4934.5454545454504"/>
    <n v="-2504057.5206611576"/>
    <n v="-39427.272727272699"/>
    <n v="-2464630.2479338851"/>
    <n v="507.45454545454601"/>
    <n v="-4934.5454545454504"/>
  </r>
  <r>
    <d v="2026-02-05T00:00:00"/>
    <x v="4"/>
    <x v="1"/>
    <x v="7"/>
    <s v="Apparel"/>
    <n v="512.60606060606096"/>
    <n v="-5019.3939393939399"/>
    <n v="-2572971.7539026649"/>
    <n v="-40369.696969696903"/>
    <n v="-2532602.0569329681"/>
    <n v="512.60606060606096"/>
    <n v="-5019.3939393939399"/>
  </r>
  <r>
    <d v="2026-03-10T00:00:00"/>
    <x v="11"/>
    <x v="2"/>
    <x v="8"/>
    <s v="Home Decor"/>
    <n v="517.75757575757598"/>
    <n v="-5104.2424242424204"/>
    <n v="-2642760.1836547283"/>
    <n v="-41312.121212121201"/>
    <n v="-2601448.0624426072"/>
    <n v="517.75757575757598"/>
    <n v="-5104.2424242424204"/>
  </r>
  <r>
    <d v="2026-04-15T00:00:00"/>
    <x v="3"/>
    <x v="3"/>
    <x v="9"/>
    <s v="Electronics"/>
    <n v="522.90909090909099"/>
    <n v="-5189.0909090909099"/>
    <n v="-2713422.8099173564"/>
    <n v="-42254.545454545398"/>
    <n v="-2671168.2644628109"/>
    <n v="522.90909090909099"/>
    <n v="-5189.0909090909099"/>
  </r>
  <r>
    <d v="2026-05-20T00:00:00"/>
    <x v="4"/>
    <x v="0"/>
    <x v="10"/>
    <s v="Home Decor"/>
    <n v="528.06060606060601"/>
    <n v="-5273.9393939393904"/>
    <n v="-2784959.6326905396"/>
    <n v="-43196.969696969703"/>
    <n v="-2741762.6629935699"/>
    <n v="528.06060606060601"/>
    <n v="-5273.9393939393904"/>
  </r>
  <r>
    <d v="2026-06-22T00:00:00"/>
    <x v="5"/>
    <x v="1"/>
    <x v="11"/>
    <s v="Electronics"/>
    <n v="533.21212121212102"/>
    <n v="-5358.7878787878699"/>
    <n v="-2857370.6519742827"/>
    <n v="-44139.3939393939"/>
    <n v="-2813231.2580348887"/>
    <n v="533.21212121212102"/>
    <n v="-5358.7878787878699"/>
  </r>
  <r>
    <d v="2026-07-25T00:00:00"/>
    <x v="6"/>
    <x v="2"/>
    <x v="12"/>
    <s v="Apparel"/>
    <n v="538.36363636363603"/>
    <n v="-5443.6363636363603"/>
    <n v="-2930655.8677685913"/>
    <n v="-45081.818181818198"/>
    <n v="-2885574.0495867729"/>
    <n v="538.36363636363603"/>
    <n v="-5443.6363636363603"/>
  </r>
  <r>
    <d v="2026-08-28T00:00:00"/>
    <x v="15"/>
    <x v="3"/>
    <x v="13"/>
    <s v="Home Decor"/>
    <n v="543.51515151515196"/>
    <n v="-5528.4848484848399"/>
    <n v="-3004815.2800734597"/>
    <n v="-46024.242424242402"/>
    <n v="-2958791.0376492175"/>
    <n v="543.51515151515196"/>
    <n v="-5528.4848484848399"/>
  </r>
  <r>
    <d v="2026-09-02T00:00:00"/>
    <x v="16"/>
    <x v="0"/>
    <x v="0"/>
    <s v="Electronics"/>
    <n v="548.66666666666697"/>
    <n v="-5613.3333333333303"/>
    <n v="-3079848.888888889"/>
    <n v="-46966.666666666599"/>
    <n v="-3032882.2222222225"/>
    <n v="548.66666666666697"/>
    <n v="-5613.3333333333303"/>
  </r>
  <r>
    <d v="2026-10-05T00:00:00"/>
    <x v="0"/>
    <x v="1"/>
    <x v="1"/>
    <s v="Apparel"/>
    <n v="553.81818181818198"/>
    <n v="-5698.1818181818098"/>
    <n v="-3155756.6942148726"/>
    <n v="-47909.090909090897"/>
    <n v="-3107847.6033057817"/>
    <n v="553.81818181818198"/>
    <n v="-5698.18181818180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E309C75-8D07-4CD4-ADF7-B58BFCDB635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Regional Revenue">
  <location ref="C11:D26" firstHeaderRow="1" firstDataRow="1" firstDataCol="1"/>
  <pivotFields count="12">
    <pivotField numFmtId="16" showAll="0"/>
    <pivotField axis="axisRow" showAll="0">
      <items count="24">
        <item x="20"/>
        <item h="1" x="21"/>
        <item h="1" x="22"/>
        <item x="0"/>
        <item x="1"/>
        <item x="2"/>
        <item x="10"/>
        <item x="3"/>
        <item x="4"/>
        <item h="1" x="5"/>
        <item x="6"/>
        <item x="7"/>
        <item x="12"/>
        <item h="1" x="13"/>
        <item x="14"/>
        <item x="19"/>
        <item x="11"/>
        <item x="17"/>
        <item h="1" x="18"/>
        <item h="1" x="8"/>
        <item h="1" x="9"/>
        <item h="1" x="15"/>
        <item h="1" x="16"/>
        <item t="default"/>
      </items>
    </pivotField>
    <pivotField showAll="0">
      <items count="5">
        <item x="3"/>
        <item x="0"/>
        <item x="2"/>
        <item h="1" x="1"/>
        <item t="default"/>
      </items>
    </pivotField>
    <pivotField showAll="0"/>
    <pivotField showAll="0"/>
    <pivotField showAll="0"/>
    <pivotField showAll="0"/>
    <pivotField dataField="1" showAll="0"/>
    <pivotField showAll="0"/>
    <pivotField showAll="0"/>
    <pivotField showAll="0"/>
    <pivotField numFmtId="9" showAll="0"/>
  </pivotFields>
  <rowFields count="1">
    <field x="1"/>
  </rowFields>
  <rowItems count="15">
    <i>
      <x/>
    </i>
    <i>
      <x v="3"/>
    </i>
    <i>
      <x v="4"/>
    </i>
    <i>
      <x v="5"/>
    </i>
    <i>
      <x v="6"/>
    </i>
    <i>
      <x v="7"/>
    </i>
    <i>
      <x v="8"/>
    </i>
    <i>
      <x v="10"/>
    </i>
    <i>
      <x v="11"/>
    </i>
    <i>
      <x v="12"/>
    </i>
    <i>
      <x v="14"/>
    </i>
    <i>
      <x v="15"/>
    </i>
    <i>
      <x v="16"/>
    </i>
    <i>
      <x v="17"/>
    </i>
    <i t="grand">
      <x/>
    </i>
  </rowItems>
  <colItems count="1">
    <i/>
  </colItems>
  <dataFields count="1">
    <dataField name="Sum of Revenue" fld="7"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3D1A203-A56A-47F0-8E0D-9D13D10A646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Executive Ranking">
  <location ref="A19:B34" firstHeaderRow="1" firstDataRow="1" firstDataCol="1"/>
  <pivotFields count="12">
    <pivotField numFmtId="16" showAll="0"/>
    <pivotField showAll="0">
      <items count="24">
        <item x="20"/>
        <item h="1" x="21"/>
        <item h="1" x="22"/>
        <item x="0"/>
        <item x="1"/>
        <item x="2"/>
        <item x="10"/>
        <item x="3"/>
        <item x="4"/>
        <item h="1" x="5"/>
        <item x="6"/>
        <item x="7"/>
        <item x="12"/>
        <item h="1" x="13"/>
        <item x="14"/>
        <item x="19"/>
        <item x="11"/>
        <item x="17"/>
        <item h="1" x="18"/>
        <item h="1" x="8"/>
        <item h="1" x="9"/>
        <item h="1" x="15"/>
        <item h="1" x="16"/>
        <item t="default"/>
      </items>
    </pivotField>
    <pivotField showAll="0">
      <items count="5">
        <item x="3"/>
        <item x="0"/>
        <item x="2"/>
        <item h="1" x="1"/>
        <item t="default"/>
      </items>
    </pivotField>
    <pivotField axis="axisRow" showAll="0">
      <items count="15">
        <item x="0"/>
        <item x="7"/>
        <item x="5"/>
        <item x="11"/>
        <item x="13"/>
        <item x="3"/>
        <item x="2"/>
        <item x="10"/>
        <item x="6"/>
        <item x="12"/>
        <item x="8"/>
        <item x="1"/>
        <item x="4"/>
        <item x="9"/>
        <item t="default"/>
      </items>
    </pivotField>
    <pivotField showAll="0"/>
    <pivotField showAll="0"/>
    <pivotField showAll="0"/>
    <pivotField showAll="0"/>
    <pivotField showAll="0"/>
    <pivotField showAll="0"/>
    <pivotField showAll="0"/>
    <pivotField dataField="1" numFmtId="9" showAll="0"/>
  </pivotFields>
  <rowFields count="1">
    <field x="3"/>
  </rowFields>
  <rowItems count="15">
    <i>
      <x/>
    </i>
    <i>
      <x v="1"/>
    </i>
    <i>
      <x v="2"/>
    </i>
    <i>
      <x v="3"/>
    </i>
    <i>
      <x v="4"/>
    </i>
    <i>
      <x v="5"/>
    </i>
    <i>
      <x v="6"/>
    </i>
    <i>
      <x v="7"/>
    </i>
    <i>
      <x v="8"/>
    </i>
    <i>
      <x v="9"/>
    </i>
    <i>
      <x v="10"/>
    </i>
    <i>
      <x v="11"/>
    </i>
    <i>
      <x v="12"/>
    </i>
    <i>
      <x v="13"/>
    </i>
    <i t="grand">
      <x/>
    </i>
  </rowItems>
  <colItems count="1">
    <i/>
  </colItems>
  <dataFields count="1">
    <dataField name="Average of Achievement %" fld="11" subtotal="average" baseField="3" baseItem="0" numFmtId="9"/>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85BCA16-4B56-46E7-A48E-8EECCC5811F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Regional Revenue">
  <location ref="A3:B7" firstHeaderRow="1" firstDataRow="1" firstDataCol="1"/>
  <pivotFields count="12">
    <pivotField numFmtId="16" showAll="0"/>
    <pivotField showAll="0">
      <items count="24">
        <item x="20"/>
        <item h="1" x="21"/>
        <item h="1" x="22"/>
        <item x="0"/>
        <item x="1"/>
        <item x="2"/>
        <item x="10"/>
        <item x="3"/>
        <item x="4"/>
        <item h="1" x="5"/>
        <item x="6"/>
        <item x="7"/>
        <item x="12"/>
        <item h="1" x="13"/>
        <item x="14"/>
        <item x="19"/>
        <item x="11"/>
        <item x="17"/>
        <item h="1" x="18"/>
        <item h="1" x="8"/>
        <item h="1" x="9"/>
        <item h="1" x="15"/>
        <item h="1" x="16"/>
        <item t="default"/>
      </items>
    </pivotField>
    <pivotField axis="axisRow" showAll="0">
      <items count="5">
        <item x="3"/>
        <item x="0"/>
        <item x="2"/>
        <item h="1" x="1"/>
        <item t="default"/>
      </items>
    </pivotField>
    <pivotField showAll="0"/>
    <pivotField showAll="0"/>
    <pivotField showAll="0"/>
    <pivotField showAll="0"/>
    <pivotField dataField="1" showAll="0"/>
    <pivotField showAll="0"/>
    <pivotField showAll="0"/>
    <pivotField showAll="0"/>
    <pivotField numFmtId="9" showAll="0"/>
  </pivotFields>
  <rowFields count="1">
    <field x="2"/>
  </rowFields>
  <rowItems count="4">
    <i>
      <x/>
    </i>
    <i>
      <x v="1"/>
    </i>
    <i>
      <x v="2"/>
    </i>
    <i t="grand">
      <x/>
    </i>
  </rowItems>
  <colItems count="1">
    <i/>
  </colItems>
  <dataFields count="1">
    <dataField name="Sum of Revenue" fld="7"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D1720B2-7EE2-4FD9-8D97-483286B01F0E}" sourceName="Month">
  <pivotTables>
    <pivotTable tabId="6" name="PivotTable4"/>
    <pivotTable tabId="6" name="PivotTable2"/>
    <pivotTable tabId="6" name="PivotTable5"/>
  </pivotTables>
  <data>
    <tabular pivotCacheId="160028877">
      <items count="23">
        <i x="20" s="1"/>
        <i x="0" s="1"/>
        <i x="1" s="1"/>
        <i x="2" s="1"/>
        <i x="10" s="1"/>
        <i x="11" s="1"/>
        <i x="3" s="1"/>
        <i x="4" s="1"/>
        <i x="6" s="1"/>
        <i x="7" s="1"/>
        <i x="12" s="1"/>
        <i x="14" s="1"/>
        <i x="19" s="1"/>
        <i x="17" s="1"/>
        <i x="18"/>
        <i x="8"/>
        <i x="9"/>
        <i x="15"/>
        <i x="22"/>
        <i x="16"/>
        <i x="21" nd="1"/>
        <i x="5" nd="1"/>
        <i x="1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4FC0A1D-DF65-46CA-A90B-1F4ACAC0969F}" sourceName="Region">
  <pivotTables>
    <pivotTable tabId="6" name="PivotTable4"/>
    <pivotTable tabId="6" name="PivotTable2"/>
    <pivotTable tabId="6" name="PivotTable5"/>
  </pivotTables>
  <data>
    <tabular pivotCacheId="160028877">
      <items count="4">
        <i x="3" s="1"/>
        <i x="0" s="1"/>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FB9F77CE-9608-41E6-8A98-56567F59643A}" cache="Slicer_Month" caption="Month" rowHeight="234950"/>
  <slicer name="Region" xr10:uid="{7D44CA10-DFE5-4CAF-90F3-D972C68DEACB}"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E1CC4B-C55B-4778-98F6-72FF2D294789}" name="Table1" displayName="Table1" ref="A1:L101" totalsRowShown="0" headerRowDxfId="16" dataDxfId="14" headerRowBorderDxfId="15" tableBorderDxfId="13" totalsRowBorderDxfId="12">
  <autoFilter ref="A1:L101" xr:uid="{6BE1CC4B-C55B-4778-98F6-72FF2D294789}"/>
  <tableColumns count="12">
    <tableColumn id="1" xr3:uid="{D917D061-9EAE-47CB-B579-71E71DFA05B6}" name="Date" dataDxfId="11"/>
    <tableColumn id="2" xr3:uid="{8CE129D2-2F43-4F32-872D-82161F735C9E}" name="Month" dataDxfId="10"/>
    <tableColumn id="3" xr3:uid="{E63A874D-231B-4B81-99B8-BEFD868F1E25}" name="Region" dataDxfId="9"/>
    <tableColumn id="4" xr3:uid="{42B90C3B-AB48-4C44-A9FA-4BE484566FF9}" name="Sales Exec" dataDxfId="8"/>
    <tableColumn id="5" xr3:uid="{8B943273-7202-4A4D-9E45-960D2DB46C11}" name="Product Category" dataDxfId="7"/>
    <tableColumn id="6" xr3:uid="{AB74E6EE-A3EC-4E61-85C2-D9F3CC4DF684}" name="Units Sold" dataDxfId="6"/>
    <tableColumn id="7" xr3:uid="{D320E7BF-1607-47E8-8C79-E11FB5A09B67}" name="Selling Price" dataDxfId="5"/>
    <tableColumn id="8" xr3:uid="{C0EE9331-95E3-4D63-9C75-58B27CE2B8DB}" name="Revenue" dataDxfId="4">
      <calculatedColumnFormula>Table1[[#This Row],[Units Sold]]*Table1[[#This Row],[Selling Price]]</calculatedColumnFormula>
    </tableColumn>
    <tableColumn id="9" xr3:uid="{6D41B22B-79B4-4AE6-857D-20496A00E633}" name="Cost" dataDxfId="3"/>
    <tableColumn id="10" xr3:uid="{7F8AD16C-092F-4595-B420-086ABEA7A4FE}" name="Profit" dataDxfId="2">
      <calculatedColumnFormula>Table1[[#This Row],[Revenue]]-Table1[[#This Row],[Cost]]</calculatedColumnFormula>
    </tableColumn>
    <tableColumn id="12" xr3:uid="{EDE94841-FF55-4986-B205-861F1542B42F}" name="Target sales" dataDxfId="1">
      <calculatedColumnFormula>Table1[[#This Row],[Revenue]]/Table1[[#This Row],[Selling Price]]</calculatedColumnFormula>
    </tableColumn>
    <tableColumn id="11" xr3:uid="{BFC70A21-3878-42AE-8F4A-CF7E1139B543}" name="Achievement %" dataDxfId="0">
      <calculatedColumnFormula>Table1[[#This Row],[Revenue]]/Table1[[#This Row],[Target sales]]</calculatedColumnFormula>
    </tableColumn>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78AA4-0A31-47AE-AD23-356939455FAE}">
  <dimension ref="A1:K101"/>
  <sheetViews>
    <sheetView workbookViewId="0">
      <selection activeCell="F209" sqref="F209"/>
    </sheetView>
  </sheetViews>
  <sheetFormatPr defaultRowHeight="14.4" x14ac:dyDescent="0.3"/>
  <cols>
    <col min="2" max="2" width="10.33203125" bestFit="1" customWidth="1"/>
    <col min="4" max="4" width="11.77734375" bestFit="1" customWidth="1"/>
    <col min="5" max="5" width="18.21875" bestFit="1" customWidth="1"/>
    <col min="6" max="6" width="10.88671875" bestFit="1" customWidth="1"/>
    <col min="7" max="7" width="13.33203125" bestFit="1" customWidth="1"/>
    <col min="8" max="8" width="9.77734375" bestFit="1" customWidth="1"/>
    <col min="11" max="11" width="16.5546875" bestFit="1" customWidth="1"/>
  </cols>
  <sheetData>
    <row r="1" spans="1:11" ht="15" thickBot="1" x14ac:dyDescent="0.35">
      <c r="A1" s="2" t="s">
        <v>0</v>
      </c>
      <c r="B1" s="2" t="s">
        <v>1</v>
      </c>
      <c r="C1" s="2" t="s">
        <v>2</v>
      </c>
      <c r="D1" s="2" t="s">
        <v>3</v>
      </c>
      <c r="E1" s="2" t="s">
        <v>4</v>
      </c>
      <c r="F1" s="2" t="s">
        <v>5</v>
      </c>
      <c r="G1" s="2" t="s">
        <v>6</v>
      </c>
      <c r="H1" s="2" t="s">
        <v>7</v>
      </c>
      <c r="I1" s="2" t="s">
        <v>8</v>
      </c>
      <c r="J1" s="2" t="s">
        <v>9</v>
      </c>
      <c r="K1" s="3" t="s">
        <v>10</v>
      </c>
    </row>
    <row r="2" spans="1:11" ht="15" thickBot="1" x14ac:dyDescent="0.35">
      <c r="A2" s="4">
        <v>46023</v>
      </c>
      <c r="B2" s="5" t="s">
        <v>11</v>
      </c>
      <c r="C2" s="5" t="s">
        <v>12</v>
      </c>
      <c r="D2" s="14" t="s">
        <v>13</v>
      </c>
      <c r="E2" s="5" t="s">
        <v>14</v>
      </c>
      <c r="F2" s="5">
        <v>50</v>
      </c>
      <c r="G2" s="5">
        <v>1200</v>
      </c>
      <c r="H2" s="5">
        <v>60000</v>
      </c>
      <c r="I2" s="5">
        <v>45000</v>
      </c>
      <c r="J2" s="5">
        <v>15000</v>
      </c>
      <c r="K2" s="6">
        <v>0.92</v>
      </c>
    </row>
    <row r="3" spans="1:11" ht="15" thickBot="1" x14ac:dyDescent="0.35">
      <c r="A3" s="4">
        <v>46058</v>
      </c>
      <c r="B3" s="5" t="s">
        <v>24</v>
      </c>
      <c r="C3" s="5" t="s">
        <v>15</v>
      </c>
      <c r="D3" s="5" t="s">
        <v>16</v>
      </c>
      <c r="E3" s="5" t="s">
        <v>17</v>
      </c>
      <c r="F3" s="5">
        <v>120</v>
      </c>
      <c r="G3" s="5">
        <v>500</v>
      </c>
      <c r="H3" s="5">
        <v>60000</v>
      </c>
      <c r="I3" s="5">
        <v>20000</v>
      </c>
      <c r="J3" s="5">
        <v>40000</v>
      </c>
      <c r="K3" s="6">
        <v>1.05</v>
      </c>
    </row>
    <row r="4" spans="1:11" ht="15" thickBot="1" x14ac:dyDescent="0.35">
      <c r="A4" s="4">
        <v>46091</v>
      </c>
      <c r="B4" s="5" t="s">
        <v>25</v>
      </c>
      <c r="C4" s="5" t="s">
        <v>18</v>
      </c>
      <c r="D4" s="14" t="s">
        <v>19</v>
      </c>
      <c r="E4" s="5" t="s">
        <v>20</v>
      </c>
      <c r="F4" s="5">
        <v>30</v>
      </c>
      <c r="G4" s="5">
        <v>2500</v>
      </c>
      <c r="H4" s="5">
        <v>75000</v>
      </c>
      <c r="I4" s="5">
        <v>50000</v>
      </c>
      <c r="J4" s="5">
        <v>25000</v>
      </c>
      <c r="K4" s="6">
        <v>0.88</v>
      </c>
    </row>
    <row r="5" spans="1:11" ht="15" thickBot="1" x14ac:dyDescent="0.35">
      <c r="A5" s="4">
        <v>46127</v>
      </c>
      <c r="B5" s="5" t="s">
        <v>26</v>
      </c>
      <c r="C5" s="5" t="s">
        <v>21</v>
      </c>
      <c r="D5" s="5" t="s">
        <v>22</v>
      </c>
      <c r="E5" s="5" t="s">
        <v>14</v>
      </c>
      <c r="F5" s="5">
        <v>20</v>
      </c>
      <c r="G5" s="5">
        <v>4500</v>
      </c>
      <c r="H5" s="5">
        <v>90000</v>
      </c>
      <c r="I5" s="5">
        <v>70000</v>
      </c>
      <c r="J5" s="5">
        <v>20000</v>
      </c>
      <c r="K5" s="6">
        <v>1.1000000000000001</v>
      </c>
    </row>
    <row r="6" spans="1:11" ht="15" thickBot="1" x14ac:dyDescent="0.35">
      <c r="A6" s="4">
        <v>46162</v>
      </c>
      <c r="B6" s="5" t="s">
        <v>27</v>
      </c>
      <c r="C6" s="5" t="s">
        <v>12</v>
      </c>
      <c r="D6" s="14" t="s">
        <v>58</v>
      </c>
      <c r="E6" s="5" t="s">
        <v>20</v>
      </c>
      <c r="F6" s="5">
        <v>15</v>
      </c>
      <c r="G6" s="5">
        <v>3000</v>
      </c>
      <c r="H6" s="5">
        <v>45000</v>
      </c>
      <c r="I6" s="5">
        <v>30000</v>
      </c>
      <c r="J6" s="5">
        <v>15000</v>
      </c>
      <c r="K6" s="6">
        <v>0.95</v>
      </c>
    </row>
    <row r="7" spans="1:11" ht="15" thickBot="1" x14ac:dyDescent="0.35">
      <c r="A7" s="4">
        <v>46195</v>
      </c>
      <c r="B7" s="5" t="s">
        <v>28</v>
      </c>
      <c r="C7" s="5" t="s">
        <v>15</v>
      </c>
      <c r="D7" s="5" t="s">
        <v>59</v>
      </c>
      <c r="E7" s="5" t="s">
        <v>14</v>
      </c>
      <c r="F7" s="5">
        <v>10</v>
      </c>
      <c r="G7" s="5">
        <v>8000</v>
      </c>
      <c r="H7" s="5">
        <v>80000</v>
      </c>
      <c r="I7" s="5">
        <v>60000</v>
      </c>
      <c r="J7" s="5">
        <v>20000</v>
      </c>
      <c r="K7" s="6">
        <v>0.98</v>
      </c>
    </row>
    <row r="8" spans="1:11" ht="15" thickBot="1" x14ac:dyDescent="0.35">
      <c r="A8" s="4">
        <v>46228</v>
      </c>
      <c r="B8" s="5" t="s">
        <v>29</v>
      </c>
      <c r="C8" s="5" t="s">
        <v>18</v>
      </c>
      <c r="D8" s="14" t="s">
        <v>60</v>
      </c>
      <c r="E8" s="5" t="s">
        <v>17</v>
      </c>
      <c r="F8" s="5">
        <v>200</v>
      </c>
      <c r="G8" s="5">
        <v>300</v>
      </c>
      <c r="H8" s="5">
        <v>60000</v>
      </c>
      <c r="I8" s="5">
        <v>25000</v>
      </c>
      <c r="J8" s="5">
        <v>35000</v>
      </c>
      <c r="K8" s="6">
        <v>1.1499999999999999</v>
      </c>
    </row>
    <row r="9" spans="1:11" ht="15" thickBot="1" x14ac:dyDescent="0.35">
      <c r="A9" s="4">
        <v>46262</v>
      </c>
      <c r="B9" s="5" t="s">
        <v>57</v>
      </c>
      <c r="C9" s="5" t="s">
        <v>21</v>
      </c>
      <c r="D9" s="5" t="s">
        <v>61</v>
      </c>
      <c r="E9" s="5" t="s">
        <v>20</v>
      </c>
      <c r="F9" s="5">
        <v>40</v>
      </c>
      <c r="G9" s="5">
        <v>1500</v>
      </c>
      <c r="H9" s="5">
        <v>60000</v>
      </c>
      <c r="I9" s="5">
        <v>40000</v>
      </c>
      <c r="J9" s="5">
        <v>20000</v>
      </c>
      <c r="K9" s="6">
        <v>1.02</v>
      </c>
    </row>
    <row r="10" spans="1:11" ht="15" thickBot="1" x14ac:dyDescent="0.35">
      <c r="A10" s="4">
        <v>46267</v>
      </c>
      <c r="B10" s="5" t="s">
        <v>31</v>
      </c>
      <c r="C10" s="5" t="s">
        <v>12</v>
      </c>
      <c r="D10" s="14" t="s">
        <v>62</v>
      </c>
      <c r="E10" s="5" t="s">
        <v>14</v>
      </c>
      <c r="F10" s="5">
        <v>55</v>
      </c>
      <c r="G10" s="5">
        <v>1200</v>
      </c>
      <c r="H10" s="5">
        <v>66000</v>
      </c>
      <c r="I10" s="5">
        <v>49500</v>
      </c>
      <c r="J10" s="5">
        <v>16500</v>
      </c>
      <c r="K10" s="6">
        <v>1.01</v>
      </c>
    </row>
    <row r="11" spans="1:11" ht="15" thickBot="1" x14ac:dyDescent="0.35">
      <c r="A11" s="4">
        <v>46300</v>
      </c>
      <c r="B11" s="5" t="s">
        <v>32</v>
      </c>
      <c r="C11" s="5" t="s">
        <v>15</v>
      </c>
      <c r="D11" s="5" t="s">
        <v>63</v>
      </c>
      <c r="E11" s="5" t="s">
        <v>17</v>
      </c>
      <c r="F11" s="5">
        <v>130</v>
      </c>
      <c r="G11" s="5">
        <v>500</v>
      </c>
      <c r="H11" s="5">
        <v>65000</v>
      </c>
      <c r="I11" s="5">
        <v>22000</v>
      </c>
      <c r="J11" s="5">
        <v>43000</v>
      </c>
      <c r="K11" s="6">
        <v>1.08</v>
      </c>
    </row>
    <row r="12" spans="1:11" ht="15" thickBot="1" x14ac:dyDescent="0.35">
      <c r="A12" s="4">
        <v>46023</v>
      </c>
      <c r="B12" s="5" t="s">
        <v>33</v>
      </c>
      <c r="C12" s="5" t="s">
        <v>12</v>
      </c>
      <c r="D12" s="14" t="s">
        <v>64</v>
      </c>
      <c r="E12" s="5" t="s">
        <v>14</v>
      </c>
      <c r="F12" s="5">
        <v>95.3333333333333</v>
      </c>
      <c r="G12" s="5">
        <v>1853.3333333333301</v>
      </c>
      <c r="H12" s="5">
        <v>64666.666666666701</v>
      </c>
      <c r="I12" s="5">
        <v>35966.666666666701</v>
      </c>
      <c r="J12" s="5">
        <v>28700</v>
      </c>
      <c r="K12" s="6">
        <v>1.0820000000000001</v>
      </c>
    </row>
    <row r="13" spans="1:11" ht="15" thickBot="1" x14ac:dyDescent="0.35">
      <c r="A13" s="4">
        <v>46058</v>
      </c>
      <c r="B13" s="5" t="s">
        <v>34</v>
      </c>
      <c r="C13" s="5" t="s">
        <v>15</v>
      </c>
      <c r="D13" s="5" t="s">
        <v>65</v>
      </c>
      <c r="E13" s="5" t="s">
        <v>17</v>
      </c>
      <c r="F13" s="5">
        <v>100.484848484849</v>
      </c>
      <c r="G13" s="5">
        <v>1768.4848484848501</v>
      </c>
      <c r="H13" s="5">
        <v>64406.060606060601</v>
      </c>
      <c r="I13" s="5">
        <v>35024.242424242402</v>
      </c>
      <c r="J13" s="5">
        <v>29381.818181818198</v>
      </c>
      <c r="K13" s="6">
        <v>1.09436363636364</v>
      </c>
    </row>
    <row r="14" spans="1:11" ht="15" thickBot="1" x14ac:dyDescent="0.35">
      <c r="A14" s="4">
        <v>46091</v>
      </c>
      <c r="B14" s="5" t="s">
        <v>35</v>
      </c>
      <c r="C14" s="5" t="s">
        <v>18</v>
      </c>
      <c r="D14" s="14" t="s">
        <v>66</v>
      </c>
      <c r="E14" s="5" t="s">
        <v>20</v>
      </c>
      <c r="F14" s="5">
        <v>105.636363636364</v>
      </c>
      <c r="G14" s="5">
        <v>1683.6363636363601</v>
      </c>
      <c r="H14" s="5">
        <v>64145.4545454545</v>
      </c>
      <c r="I14" s="5">
        <v>34081.818181818198</v>
      </c>
      <c r="J14" s="5">
        <v>30063.6363636364</v>
      </c>
      <c r="K14" s="6">
        <v>1.1067272727272699</v>
      </c>
    </row>
    <row r="15" spans="1:11" ht="15" thickBot="1" x14ac:dyDescent="0.35">
      <c r="A15" s="4">
        <v>46127</v>
      </c>
      <c r="B15" s="5" t="s">
        <v>36</v>
      </c>
      <c r="C15" s="5" t="s">
        <v>21</v>
      </c>
      <c r="D15" s="5" t="s">
        <v>67</v>
      </c>
      <c r="E15" s="5" t="s">
        <v>14</v>
      </c>
      <c r="F15" s="5">
        <v>110.787878787879</v>
      </c>
      <c r="G15" s="5">
        <v>1598.7878787878799</v>
      </c>
      <c r="H15" s="5">
        <v>63884.848484848502</v>
      </c>
      <c r="I15" s="5">
        <v>33139.3939393939</v>
      </c>
      <c r="J15" s="5">
        <v>30745.454545454599</v>
      </c>
      <c r="K15" s="6">
        <v>1.11909090909091</v>
      </c>
    </row>
    <row r="16" spans="1:11" ht="15" thickBot="1" x14ac:dyDescent="0.35">
      <c r="A16" s="4">
        <v>46162</v>
      </c>
      <c r="B16" s="5" t="s">
        <v>37</v>
      </c>
      <c r="C16" s="5" t="s">
        <v>12</v>
      </c>
      <c r="D16" s="14" t="s">
        <v>13</v>
      </c>
      <c r="E16" s="5" t="s">
        <v>20</v>
      </c>
      <c r="F16" s="5">
        <v>115.93939393939399</v>
      </c>
      <c r="G16" s="5">
        <v>1513.9393939393899</v>
      </c>
      <c r="H16" s="5">
        <v>63624.242424242402</v>
      </c>
      <c r="I16" s="5">
        <v>32196.9696969697</v>
      </c>
      <c r="J16" s="5">
        <v>31427.272727272699</v>
      </c>
      <c r="K16" s="6">
        <v>1.1314545454545499</v>
      </c>
    </row>
    <row r="17" spans="1:11" ht="15" thickBot="1" x14ac:dyDescent="0.35">
      <c r="A17" s="4">
        <v>46195</v>
      </c>
      <c r="B17" s="5" t="s">
        <v>38</v>
      </c>
      <c r="C17" s="5" t="s">
        <v>15</v>
      </c>
      <c r="D17" s="5" t="s">
        <v>16</v>
      </c>
      <c r="E17" s="5" t="s">
        <v>14</v>
      </c>
      <c r="F17" s="5">
        <v>121.09090909090899</v>
      </c>
      <c r="G17" s="5">
        <v>1429.0909090909099</v>
      </c>
      <c r="H17" s="5">
        <v>63363.636363636397</v>
      </c>
      <c r="I17" s="5">
        <v>31254.5454545455</v>
      </c>
      <c r="J17" s="5">
        <v>32109.090909090901</v>
      </c>
      <c r="K17" s="6">
        <v>1.1438181818181801</v>
      </c>
    </row>
    <row r="18" spans="1:11" ht="15" thickBot="1" x14ac:dyDescent="0.35">
      <c r="A18" s="4">
        <v>46228</v>
      </c>
      <c r="B18" s="5" t="s">
        <v>39</v>
      </c>
      <c r="C18" s="5" t="s">
        <v>18</v>
      </c>
      <c r="D18" s="14" t="s">
        <v>19</v>
      </c>
      <c r="E18" s="5" t="s">
        <v>17</v>
      </c>
      <c r="F18" s="5">
        <v>126.24242424242399</v>
      </c>
      <c r="G18" s="5">
        <v>1344.2424242424199</v>
      </c>
      <c r="H18" s="5">
        <v>63103.030303030297</v>
      </c>
      <c r="I18" s="5">
        <v>30312.121212121201</v>
      </c>
      <c r="J18" s="5">
        <v>32790.909090909103</v>
      </c>
      <c r="K18" s="6">
        <v>1.15618181818182</v>
      </c>
    </row>
    <row r="19" spans="1:11" ht="15" thickBot="1" x14ac:dyDescent="0.35">
      <c r="A19" s="4">
        <v>46262</v>
      </c>
      <c r="B19" s="5" t="s">
        <v>40</v>
      </c>
      <c r="C19" s="5" t="s">
        <v>21</v>
      </c>
      <c r="D19" s="5" t="s">
        <v>22</v>
      </c>
      <c r="E19" s="5" t="s">
        <v>20</v>
      </c>
      <c r="F19" s="5">
        <v>131.39393939393901</v>
      </c>
      <c r="G19" s="5">
        <v>1259.3939393939399</v>
      </c>
      <c r="H19" s="5">
        <v>62842.424242424197</v>
      </c>
      <c r="I19" s="5">
        <v>29369.696969697001</v>
      </c>
      <c r="J19" s="5">
        <v>33472.727272727301</v>
      </c>
      <c r="K19" s="6">
        <v>1.1685454545454499</v>
      </c>
    </row>
    <row r="20" spans="1:11" ht="15" thickBot="1" x14ac:dyDescent="0.35">
      <c r="A20" s="4">
        <v>46267</v>
      </c>
      <c r="B20" s="5" t="s">
        <v>41</v>
      </c>
      <c r="C20" s="5" t="s">
        <v>12</v>
      </c>
      <c r="D20" s="14" t="s">
        <v>58</v>
      </c>
      <c r="E20" s="5" t="s">
        <v>14</v>
      </c>
      <c r="F20" s="5">
        <v>136.54545454545499</v>
      </c>
      <c r="G20" s="5">
        <v>1174.54545454545</v>
      </c>
      <c r="H20" s="5">
        <v>62581.818181818198</v>
      </c>
      <c r="I20" s="5">
        <v>28427.272727272699</v>
      </c>
      <c r="J20" s="5">
        <v>34154.5454545455</v>
      </c>
      <c r="K20" s="6">
        <v>1.18090909090909</v>
      </c>
    </row>
    <row r="21" spans="1:11" ht="15" thickBot="1" x14ac:dyDescent="0.35">
      <c r="A21" s="4">
        <v>46300</v>
      </c>
      <c r="B21" s="5" t="s">
        <v>42</v>
      </c>
      <c r="C21" s="5" t="s">
        <v>15</v>
      </c>
      <c r="D21" s="5" t="s">
        <v>59</v>
      </c>
      <c r="E21" s="5" t="s">
        <v>17</v>
      </c>
      <c r="F21" s="5">
        <v>141.69696969697</v>
      </c>
      <c r="G21" s="5">
        <v>1089.69696969697</v>
      </c>
      <c r="H21" s="5">
        <v>62321.212121212098</v>
      </c>
      <c r="I21" s="5">
        <v>27484.848484848499</v>
      </c>
      <c r="J21" s="5">
        <v>34836.363636363698</v>
      </c>
      <c r="K21" s="6">
        <v>1.1932727272727299</v>
      </c>
    </row>
    <row r="22" spans="1:11" ht="15" thickBot="1" x14ac:dyDescent="0.35">
      <c r="A22" s="4">
        <v>46023</v>
      </c>
      <c r="B22" s="5" t="s">
        <v>43</v>
      </c>
      <c r="C22" s="5" t="s">
        <v>12</v>
      </c>
      <c r="D22" s="14" t="s">
        <v>60</v>
      </c>
      <c r="E22" s="5" t="s">
        <v>14</v>
      </c>
      <c r="F22" s="5">
        <v>146.84848484848499</v>
      </c>
      <c r="G22" s="5">
        <v>1004.84848484848</v>
      </c>
      <c r="H22" s="5">
        <v>62060.6060606061</v>
      </c>
      <c r="I22" s="5">
        <v>26542.424242424298</v>
      </c>
      <c r="J22" s="5">
        <v>35518.181818181802</v>
      </c>
      <c r="K22" s="6">
        <v>1.2056363636363601</v>
      </c>
    </row>
    <row r="23" spans="1:11" ht="15" thickBot="1" x14ac:dyDescent="0.35">
      <c r="A23" s="4">
        <v>46058</v>
      </c>
      <c r="B23" s="5" t="s">
        <v>44</v>
      </c>
      <c r="C23" s="5" t="s">
        <v>15</v>
      </c>
      <c r="D23" s="5" t="s">
        <v>61</v>
      </c>
      <c r="E23" s="5" t="s">
        <v>17</v>
      </c>
      <c r="F23" s="5">
        <v>152</v>
      </c>
      <c r="G23" s="5">
        <v>920.00000000000205</v>
      </c>
      <c r="H23" s="5">
        <v>61800</v>
      </c>
      <c r="I23" s="5">
        <v>25600</v>
      </c>
      <c r="J23" s="5">
        <v>36200</v>
      </c>
      <c r="K23" s="6">
        <v>1.218</v>
      </c>
    </row>
    <row r="24" spans="1:11" ht="15" thickBot="1" x14ac:dyDescent="0.35">
      <c r="A24" s="4">
        <v>46091</v>
      </c>
      <c r="B24" s="5" t="s">
        <v>45</v>
      </c>
      <c r="C24" s="5" t="s">
        <v>18</v>
      </c>
      <c r="D24" s="14" t="s">
        <v>62</v>
      </c>
      <c r="E24" s="5" t="s">
        <v>20</v>
      </c>
      <c r="F24" s="5">
        <v>157.15151515151501</v>
      </c>
      <c r="G24" s="5">
        <v>835.15151515151194</v>
      </c>
      <c r="H24" s="5">
        <v>61539.3939393939</v>
      </c>
      <c r="I24" s="5">
        <v>24657.5757575758</v>
      </c>
      <c r="J24" s="5">
        <v>36881.818181818198</v>
      </c>
      <c r="K24" s="6">
        <v>1.2303636363636401</v>
      </c>
    </row>
    <row r="25" spans="1:11" ht="15" thickBot="1" x14ac:dyDescent="0.35">
      <c r="A25" s="4">
        <v>46127</v>
      </c>
      <c r="B25" s="5" t="s">
        <v>46</v>
      </c>
      <c r="C25" s="5" t="s">
        <v>21</v>
      </c>
      <c r="D25" s="5" t="s">
        <v>63</v>
      </c>
      <c r="E25" s="5" t="s">
        <v>14</v>
      </c>
      <c r="F25" s="5">
        <v>162.30303030303</v>
      </c>
      <c r="G25" s="5">
        <v>750.30303030303196</v>
      </c>
      <c r="H25" s="5">
        <v>61278.787878787902</v>
      </c>
      <c r="I25" s="5">
        <v>23715.151515151501</v>
      </c>
      <c r="J25" s="5">
        <v>37563.636363636397</v>
      </c>
      <c r="K25" s="6">
        <v>1.24272727272727</v>
      </c>
    </row>
    <row r="26" spans="1:11" ht="15" thickBot="1" x14ac:dyDescent="0.35">
      <c r="A26" s="4">
        <v>46162</v>
      </c>
      <c r="B26" s="5" t="s">
        <v>47</v>
      </c>
      <c r="C26" s="5" t="s">
        <v>12</v>
      </c>
      <c r="D26" s="14" t="s">
        <v>64</v>
      </c>
      <c r="E26" s="5" t="s">
        <v>20</v>
      </c>
      <c r="F26" s="5">
        <v>167.45454545454601</v>
      </c>
      <c r="G26" s="5">
        <v>665.45454545455198</v>
      </c>
      <c r="H26" s="5">
        <v>61018.181818181802</v>
      </c>
      <c r="I26" s="5">
        <v>22772.727272727301</v>
      </c>
      <c r="J26" s="5">
        <v>38245.454545454602</v>
      </c>
      <c r="K26" s="6">
        <v>1.2550909090909099</v>
      </c>
    </row>
    <row r="27" spans="1:11" ht="15" thickBot="1" x14ac:dyDescent="0.35">
      <c r="A27" s="4">
        <v>46195</v>
      </c>
      <c r="B27" s="5" t="s">
        <v>48</v>
      </c>
      <c r="C27" s="5" t="s">
        <v>15</v>
      </c>
      <c r="D27" s="5" t="s">
        <v>65</v>
      </c>
      <c r="E27" s="5" t="s">
        <v>14</v>
      </c>
      <c r="F27" s="5">
        <v>172.60606060606099</v>
      </c>
      <c r="G27" s="5">
        <v>580.60606060606096</v>
      </c>
      <c r="H27" s="5">
        <v>60757.575757575702</v>
      </c>
      <c r="I27" s="5">
        <v>21830.303030302999</v>
      </c>
      <c r="J27" s="5">
        <v>38927.272727272801</v>
      </c>
      <c r="K27" s="6">
        <v>1.2674545454545501</v>
      </c>
    </row>
    <row r="28" spans="1:11" ht="15" thickBot="1" x14ac:dyDescent="0.35">
      <c r="A28" s="4">
        <v>46228</v>
      </c>
      <c r="B28" s="5" t="s">
        <v>49</v>
      </c>
      <c r="C28" s="5" t="s">
        <v>18</v>
      </c>
      <c r="D28" s="14" t="s">
        <v>66</v>
      </c>
      <c r="E28" s="5" t="s">
        <v>17</v>
      </c>
      <c r="F28" s="5">
        <v>177.75757575757601</v>
      </c>
      <c r="G28" s="5">
        <v>495.75757575758098</v>
      </c>
      <c r="H28" s="5">
        <v>60496.969696969703</v>
      </c>
      <c r="I28" s="5">
        <v>20887.878787878799</v>
      </c>
      <c r="J28" s="5">
        <v>39609.090909090897</v>
      </c>
      <c r="K28" s="6">
        <v>1.27981818181818</v>
      </c>
    </row>
    <row r="29" spans="1:11" ht="15" thickBot="1" x14ac:dyDescent="0.35">
      <c r="A29" s="4">
        <v>46262</v>
      </c>
      <c r="B29" s="5" t="s">
        <v>24</v>
      </c>
      <c r="C29" s="5" t="s">
        <v>21</v>
      </c>
      <c r="D29" s="5" t="s">
        <v>67</v>
      </c>
      <c r="E29" s="5" t="s">
        <v>20</v>
      </c>
      <c r="F29" s="5">
        <v>182.90909090909099</v>
      </c>
      <c r="G29" s="5">
        <v>410.90909090909099</v>
      </c>
      <c r="H29" s="5">
        <v>60236.363636363603</v>
      </c>
      <c r="I29" s="5">
        <v>19945.454545454599</v>
      </c>
      <c r="J29" s="5">
        <v>40290.909090909103</v>
      </c>
      <c r="K29" s="6">
        <v>1.2921818181818201</v>
      </c>
    </row>
    <row r="30" spans="1:11" ht="15" thickBot="1" x14ac:dyDescent="0.35">
      <c r="A30" s="4">
        <v>46267</v>
      </c>
      <c r="B30" s="5" t="s">
        <v>25</v>
      </c>
      <c r="C30" s="5" t="s">
        <v>12</v>
      </c>
      <c r="D30" s="14" t="s">
        <v>13</v>
      </c>
      <c r="E30" s="5" t="s">
        <v>14</v>
      </c>
      <c r="F30" s="5">
        <v>188.06060606060601</v>
      </c>
      <c r="G30" s="5">
        <v>326.06060606061101</v>
      </c>
      <c r="H30" s="5">
        <v>59975.757575757598</v>
      </c>
      <c r="I30" s="5">
        <v>19003.0303030303</v>
      </c>
      <c r="J30" s="5">
        <v>40972.727272727301</v>
      </c>
      <c r="K30" s="6">
        <v>1.30454545454545</v>
      </c>
    </row>
    <row r="31" spans="1:11" ht="15" thickBot="1" x14ac:dyDescent="0.35">
      <c r="A31" s="4">
        <v>46300</v>
      </c>
      <c r="B31" s="5" t="s">
        <v>50</v>
      </c>
      <c r="C31" s="5" t="s">
        <v>15</v>
      </c>
      <c r="D31" s="5" t="s">
        <v>16</v>
      </c>
      <c r="E31" s="5" t="s">
        <v>17</v>
      </c>
      <c r="F31" s="5">
        <v>193.21212121212099</v>
      </c>
      <c r="G31" s="5">
        <v>241.21212121212099</v>
      </c>
      <c r="H31" s="5">
        <v>59715.151515151498</v>
      </c>
      <c r="I31" s="5">
        <v>18060.6060606061</v>
      </c>
      <c r="J31" s="5">
        <v>41654.5454545455</v>
      </c>
      <c r="K31" s="6">
        <v>1.3169090909090899</v>
      </c>
    </row>
    <row r="32" spans="1:11" ht="15" thickBot="1" x14ac:dyDescent="0.35">
      <c r="A32" s="4">
        <v>46023</v>
      </c>
      <c r="B32" s="5" t="s">
        <v>51</v>
      </c>
      <c r="C32" s="5" t="s">
        <v>12</v>
      </c>
      <c r="D32" s="14" t="s">
        <v>19</v>
      </c>
      <c r="E32" s="5" t="s">
        <v>14</v>
      </c>
      <c r="F32" s="5">
        <v>198.363636363637</v>
      </c>
      <c r="G32" s="5">
        <v>156.36363636364101</v>
      </c>
      <c r="H32" s="5">
        <v>59454.545454545398</v>
      </c>
      <c r="I32" s="5">
        <v>17118.181818181802</v>
      </c>
      <c r="J32" s="5">
        <v>42336.363636363698</v>
      </c>
      <c r="K32" s="6">
        <v>1.32927272727273</v>
      </c>
    </row>
    <row r="33" spans="1:11" ht="15" thickBot="1" x14ac:dyDescent="0.35">
      <c r="A33" s="4">
        <v>46058</v>
      </c>
      <c r="B33" s="5" t="s">
        <v>52</v>
      </c>
      <c r="C33" s="5" t="s">
        <v>15</v>
      </c>
      <c r="D33" s="5" t="s">
        <v>22</v>
      </c>
      <c r="E33" s="5" t="s">
        <v>17</v>
      </c>
      <c r="F33" s="5">
        <v>203.51515151515201</v>
      </c>
      <c r="G33" s="5">
        <v>71.515151515151501</v>
      </c>
      <c r="H33" s="5">
        <v>59193.939393939399</v>
      </c>
      <c r="I33" s="5">
        <v>16175.7575757576</v>
      </c>
      <c r="J33" s="5">
        <v>43018.181818181802</v>
      </c>
      <c r="K33" s="6">
        <v>1.34163636363636</v>
      </c>
    </row>
    <row r="34" spans="1:11" ht="15" thickBot="1" x14ac:dyDescent="0.35">
      <c r="A34" s="4">
        <v>46091</v>
      </c>
      <c r="B34" s="5" t="s">
        <v>53</v>
      </c>
      <c r="C34" s="5" t="s">
        <v>18</v>
      </c>
      <c r="D34" s="14" t="s">
        <v>58</v>
      </c>
      <c r="E34" s="5" t="s">
        <v>20</v>
      </c>
      <c r="F34" s="5">
        <v>208.666666666667</v>
      </c>
      <c r="G34" s="5">
        <v>-13.3333333333285</v>
      </c>
      <c r="H34" s="5">
        <v>58933.333333333299</v>
      </c>
      <c r="I34" s="5">
        <v>15233.333333333299</v>
      </c>
      <c r="J34" s="5">
        <v>43700</v>
      </c>
      <c r="K34" s="6">
        <v>1.3540000000000001</v>
      </c>
    </row>
    <row r="35" spans="1:11" ht="15" thickBot="1" x14ac:dyDescent="0.35">
      <c r="A35" s="4">
        <v>46127</v>
      </c>
      <c r="B35" s="5" t="s">
        <v>26</v>
      </c>
      <c r="C35" s="5" t="s">
        <v>21</v>
      </c>
      <c r="D35" s="5" t="s">
        <v>59</v>
      </c>
      <c r="E35" s="5" t="s">
        <v>14</v>
      </c>
      <c r="F35" s="5">
        <v>213.81818181818201</v>
      </c>
      <c r="G35" s="5">
        <v>-98.1818181818185</v>
      </c>
      <c r="H35" s="5">
        <v>58672.727272727301</v>
      </c>
      <c r="I35" s="5">
        <v>14290.909090909099</v>
      </c>
      <c r="J35" s="5">
        <v>44381.818181818198</v>
      </c>
      <c r="K35" s="6">
        <v>1.36636363636364</v>
      </c>
    </row>
    <row r="36" spans="1:11" ht="15" thickBot="1" x14ac:dyDescent="0.35">
      <c r="A36" s="4">
        <v>46162</v>
      </c>
      <c r="B36" s="5" t="s">
        <v>27</v>
      </c>
      <c r="C36" s="5" t="s">
        <v>12</v>
      </c>
      <c r="D36" s="14" t="s">
        <v>60</v>
      </c>
      <c r="E36" s="5" t="s">
        <v>20</v>
      </c>
      <c r="F36" s="5">
        <v>218.969696969697</v>
      </c>
      <c r="G36" s="5">
        <v>-183.030303030298</v>
      </c>
      <c r="H36" s="5">
        <v>58412.121212121201</v>
      </c>
      <c r="I36" s="5">
        <v>13348.484848484901</v>
      </c>
      <c r="J36" s="5">
        <v>45063.636363636397</v>
      </c>
      <c r="K36" s="6">
        <v>1.3787272727272699</v>
      </c>
    </row>
    <row r="37" spans="1:11" ht="15" thickBot="1" x14ac:dyDescent="0.35">
      <c r="A37" s="4">
        <v>46195</v>
      </c>
      <c r="B37" s="5" t="s">
        <v>28</v>
      </c>
      <c r="C37" s="5" t="s">
        <v>15</v>
      </c>
      <c r="D37" s="5" t="s">
        <v>61</v>
      </c>
      <c r="E37" s="5" t="s">
        <v>14</v>
      </c>
      <c r="F37" s="5">
        <v>224.12121212121201</v>
      </c>
      <c r="G37" s="5">
        <v>-267.87878787878799</v>
      </c>
      <c r="H37" s="5">
        <v>58151.515151515101</v>
      </c>
      <c r="I37" s="5">
        <v>12406.060606060601</v>
      </c>
      <c r="J37" s="5">
        <v>45745.454545454602</v>
      </c>
      <c r="K37" s="6">
        <v>1.39109090909091</v>
      </c>
    </row>
    <row r="38" spans="1:11" ht="15" thickBot="1" x14ac:dyDescent="0.35">
      <c r="A38" s="4">
        <v>46228</v>
      </c>
      <c r="B38" s="5" t="s">
        <v>29</v>
      </c>
      <c r="C38" s="5" t="s">
        <v>18</v>
      </c>
      <c r="D38" s="14" t="s">
        <v>62</v>
      </c>
      <c r="E38" s="5" t="s">
        <v>17</v>
      </c>
      <c r="F38" s="5">
        <v>229.272727272727</v>
      </c>
      <c r="G38" s="5">
        <v>-352.72727272726797</v>
      </c>
      <c r="H38" s="5">
        <v>57890.909090909103</v>
      </c>
      <c r="I38" s="5">
        <v>11463.6363636364</v>
      </c>
      <c r="J38" s="5">
        <v>46427.272727272801</v>
      </c>
      <c r="K38" s="6">
        <v>1.40345454545455</v>
      </c>
    </row>
    <row r="39" spans="1:11" ht="15" thickBot="1" x14ac:dyDescent="0.35">
      <c r="A39" s="4">
        <v>46262</v>
      </c>
      <c r="B39" s="5" t="s">
        <v>27</v>
      </c>
      <c r="C39" s="5" t="s">
        <v>21</v>
      </c>
      <c r="D39" s="5" t="s">
        <v>63</v>
      </c>
      <c r="E39" s="5" t="s">
        <v>20</v>
      </c>
      <c r="F39" s="5">
        <v>234.424242424243</v>
      </c>
      <c r="G39" s="5">
        <v>-437.57575757575802</v>
      </c>
      <c r="H39" s="5">
        <v>57630.303030303003</v>
      </c>
      <c r="I39" s="5">
        <v>10521.2121212121</v>
      </c>
      <c r="J39" s="5">
        <v>47109.090909090897</v>
      </c>
      <c r="K39" s="6">
        <v>1.4158181818181801</v>
      </c>
    </row>
    <row r="40" spans="1:11" ht="15" thickBot="1" x14ac:dyDescent="0.35">
      <c r="A40" s="4">
        <v>46267</v>
      </c>
      <c r="B40" s="5" t="s">
        <v>54</v>
      </c>
      <c r="C40" s="5" t="s">
        <v>12</v>
      </c>
      <c r="D40" s="14" t="s">
        <v>64</v>
      </c>
      <c r="E40" s="5" t="s">
        <v>14</v>
      </c>
      <c r="F40" s="5">
        <v>239.57575757575799</v>
      </c>
      <c r="G40" s="5">
        <v>-522.42424242423795</v>
      </c>
      <c r="H40" s="5">
        <v>57369.696969696997</v>
      </c>
      <c r="I40" s="5">
        <v>9578.7878787878908</v>
      </c>
      <c r="J40" s="5">
        <v>47790.909090909103</v>
      </c>
      <c r="K40" s="6">
        <v>1.42818181818182</v>
      </c>
    </row>
    <row r="41" spans="1:11" ht="15" thickBot="1" x14ac:dyDescent="0.35">
      <c r="A41" s="4">
        <v>46300</v>
      </c>
      <c r="B41" s="5" t="s">
        <v>55</v>
      </c>
      <c r="C41" s="5" t="s">
        <v>15</v>
      </c>
      <c r="D41" s="5" t="s">
        <v>65</v>
      </c>
      <c r="E41" s="5" t="s">
        <v>17</v>
      </c>
      <c r="F41" s="5">
        <v>244.727272727273</v>
      </c>
      <c r="G41" s="5">
        <v>-607.27272727272805</v>
      </c>
      <c r="H41" s="5">
        <v>57109.090909090897</v>
      </c>
      <c r="I41" s="5">
        <v>8636.3636363636906</v>
      </c>
      <c r="J41" s="5">
        <v>48472.727272727301</v>
      </c>
      <c r="K41" s="6">
        <v>1.4405454545454499</v>
      </c>
    </row>
    <row r="42" spans="1:11" ht="15" thickBot="1" x14ac:dyDescent="0.35">
      <c r="A42" s="4">
        <v>46023</v>
      </c>
      <c r="B42" s="5" t="s">
        <v>11</v>
      </c>
      <c r="C42" s="5" t="s">
        <v>12</v>
      </c>
      <c r="D42" s="14" t="s">
        <v>66</v>
      </c>
      <c r="E42" s="5" t="s">
        <v>14</v>
      </c>
      <c r="F42" s="5">
        <v>249.87878787878799</v>
      </c>
      <c r="G42" s="5">
        <v>-692.12121212120803</v>
      </c>
      <c r="H42" s="5">
        <v>56848.484848484899</v>
      </c>
      <c r="I42" s="5">
        <v>7693.9393939393804</v>
      </c>
      <c r="J42" s="5">
        <v>49154.5454545455</v>
      </c>
      <c r="K42" s="6">
        <v>1.45290909090909</v>
      </c>
    </row>
    <row r="43" spans="1:11" ht="15" thickBot="1" x14ac:dyDescent="0.35">
      <c r="A43" s="4">
        <v>46058</v>
      </c>
      <c r="B43" s="5" t="s">
        <v>23</v>
      </c>
      <c r="C43" s="5" t="s">
        <v>15</v>
      </c>
      <c r="D43" s="5" t="s">
        <v>67</v>
      </c>
      <c r="E43" s="5" t="s">
        <v>17</v>
      </c>
      <c r="F43" s="5">
        <v>255.030303030303</v>
      </c>
      <c r="G43" s="5">
        <v>-776.96969696969802</v>
      </c>
      <c r="H43" s="5">
        <v>56587.878787878799</v>
      </c>
      <c r="I43" s="5">
        <v>6751.5151515151902</v>
      </c>
      <c r="J43" s="5">
        <v>49836.363636363698</v>
      </c>
      <c r="K43" s="6">
        <v>1.4652727272727299</v>
      </c>
    </row>
    <row r="44" spans="1:11" ht="15" thickBot="1" x14ac:dyDescent="0.35">
      <c r="A44" s="4">
        <v>46091</v>
      </c>
      <c r="B44" s="5" t="s">
        <v>56</v>
      </c>
      <c r="C44" s="5" t="s">
        <v>18</v>
      </c>
      <c r="D44" s="14" t="s">
        <v>13</v>
      </c>
      <c r="E44" s="5" t="s">
        <v>20</v>
      </c>
      <c r="F44" s="5">
        <v>260.18181818181802</v>
      </c>
      <c r="G44" s="5">
        <v>-861.818181818178</v>
      </c>
      <c r="H44" s="5">
        <v>56327.272727272801</v>
      </c>
      <c r="I44" s="5">
        <v>5809.0909090908899</v>
      </c>
      <c r="J44" s="5">
        <v>50518.181818181802</v>
      </c>
      <c r="K44" s="6">
        <v>1.4776363636363601</v>
      </c>
    </row>
    <row r="45" spans="1:11" ht="15" thickBot="1" x14ac:dyDescent="0.35">
      <c r="A45" s="4">
        <v>46127</v>
      </c>
      <c r="B45" s="5" t="s">
        <v>36</v>
      </c>
      <c r="C45" s="5" t="s">
        <v>21</v>
      </c>
      <c r="D45" s="5" t="s">
        <v>16</v>
      </c>
      <c r="E45" s="5" t="s">
        <v>14</v>
      </c>
      <c r="F45" s="5">
        <v>265.33333333333297</v>
      </c>
      <c r="G45" s="5">
        <v>-946.66666666666799</v>
      </c>
      <c r="H45" s="5">
        <v>56066.666666666701</v>
      </c>
      <c r="I45" s="5">
        <v>4866.6666666666897</v>
      </c>
      <c r="J45" s="5">
        <v>51200</v>
      </c>
      <c r="K45" s="6">
        <v>1.49</v>
      </c>
    </row>
    <row r="46" spans="1:11" ht="15" thickBot="1" x14ac:dyDescent="0.35">
      <c r="A46" s="4">
        <v>46162</v>
      </c>
      <c r="B46" s="5" t="s">
        <v>37</v>
      </c>
      <c r="C46" s="5" t="s">
        <v>12</v>
      </c>
      <c r="D46" s="14" t="s">
        <v>19</v>
      </c>
      <c r="E46" s="5" t="s">
        <v>20</v>
      </c>
      <c r="F46" s="5">
        <v>270.48484848484901</v>
      </c>
      <c r="G46" s="5">
        <v>-1031.5151515151499</v>
      </c>
      <c r="H46" s="5">
        <v>55806.060606060601</v>
      </c>
      <c r="I46" s="5">
        <v>3924.2424242423899</v>
      </c>
      <c r="J46" s="5">
        <v>51881.818181818198</v>
      </c>
      <c r="K46" s="6">
        <v>1.5023636363636399</v>
      </c>
    </row>
    <row r="47" spans="1:11" ht="15" thickBot="1" x14ac:dyDescent="0.35">
      <c r="A47" s="4">
        <v>46195</v>
      </c>
      <c r="B47" s="5" t="s">
        <v>38</v>
      </c>
      <c r="C47" s="5" t="s">
        <v>15</v>
      </c>
      <c r="D47" s="5" t="s">
        <v>22</v>
      </c>
      <c r="E47" s="5" t="s">
        <v>14</v>
      </c>
      <c r="F47" s="5">
        <v>275.63636363636402</v>
      </c>
      <c r="G47" s="5">
        <v>-1116.3636363636399</v>
      </c>
      <c r="H47" s="5">
        <v>55545.454545454602</v>
      </c>
      <c r="I47" s="5">
        <v>2981.8181818181902</v>
      </c>
      <c r="J47" s="5">
        <v>52563.636363636397</v>
      </c>
      <c r="K47" s="6">
        <v>1.51472727272727</v>
      </c>
    </row>
    <row r="48" spans="1:11" ht="15" thickBot="1" x14ac:dyDescent="0.35">
      <c r="A48" s="4">
        <v>46228</v>
      </c>
      <c r="B48" s="5" t="s">
        <v>39</v>
      </c>
      <c r="C48" s="5" t="s">
        <v>18</v>
      </c>
      <c r="D48" s="14" t="s">
        <v>58</v>
      </c>
      <c r="E48" s="5" t="s">
        <v>17</v>
      </c>
      <c r="F48" s="5">
        <v>280.78787878787898</v>
      </c>
      <c r="G48" s="5">
        <v>-1201.2121212121201</v>
      </c>
      <c r="H48" s="5">
        <v>55284.848484848502</v>
      </c>
      <c r="I48" s="5">
        <v>2039.39393939399</v>
      </c>
      <c r="J48" s="5">
        <v>53245.454545454602</v>
      </c>
      <c r="K48" s="6">
        <v>1.5270909090909099</v>
      </c>
    </row>
    <row r="49" spans="1:11" ht="15" thickBot="1" x14ac:dyDescent="0.35">
      <c r="A49" s="4">
        <v>46262</v>
      </c>
      <c r="B49" s="5" t="s">
        <v>30</v>
      </c>
      <c r="C49" s="5" t="s">
        <v>21</v>
      </c>
      <c r="D49" s="5" t="s">
        <v>59</v>
      </c>
      <c r="E49" s="5" t="s">
        <v>20</v>
      </c>
      <c r="F49" s="5">
        <v>285.93939393939399</v>
      </c>
      <c r="G49" s="5">
        <v>-1286.0606060606001</v>
      </c>
      <c r="H49" s="5">
        <v>55024.242424242497</v>
      </c>
      <c r="I49" s="5">
        <v>1096.9696969696899</v>
      </c>
      <c r="J49" s="5">
        <v>53927.272727272801</v>
      </c>
      <c r="K49" s="6">
        <v>1.5394545454545501</v>
      </c>
    </row>
    <row r="50" spans="1:11" ht="15" thickBot="1" x14ac:dyDescent="0.35">
      <c r="A50" s="4">
        <v>46267</v>
      </c>
      <c r="B50" s="5" t="s">
        <v>31</v>
      </c>
      <c r="C50" s="5" t="s">
        <v>12</v>
      </c>
      <c r="D50" s="14" t="s">
        <v>60</v>
      </c>
      <c r="E50" s="5" t="s">
        <v>14</v>
      </c>
      <c r="F50" s="5">
        <v>291.09090909090901</v>
      </c>
      <c r="G50" s="5">
        <v>-1370.9090909090901</v>
      </c>
      <c r="H50" s="5">
        <v>54763.636363636397</v>
      </c>
      <c r="I50" s="5">
        <v>154.545454545485</v>
      </c>
      <c r="J50" s="5">
        <v>54609.090909090897</v>
      </c>
      <c r="K50" s="6">
        <v>1.55181818181818</v>
      </c>
    </row>
    <row r="51" spans="1:11" ht="15" thickBot="1" x14ac:dyDescent="0.35">
      <c r="A51" s="4">
        <v>46300</v>
      </c>
      <c r="B51" s="5" t="s">
        <v>32</v>
      </c>
      <c r="C51" s="5" t="s">
        <v>15</v>
      </c>
      <c r="D51" s="5" t="s">
        <v>61</v>
      </c>
      <c r="E51" s="5" t="s">
        <v>17</v>
      </c>
      <c r="F51" s="5">
        <v>296.24242424242402</v>
      </c>
      <c r="G51" s="5">
        <v>-1455.7575757575701</v>
      </c>
      <c r="H51" s="5">
        <v>54503.030303030297</v>
      </c>
      <c r="I51" s="5">
        <v>-787.878787878813</v>
      </c>
      <c r="J51" s="5">
        <v>55290.909090909103</v>
      </c>
      <c r="K51" s="6">
        <v>1.5641818181818199</v>
      </c>
    </row>
    <row r="52" spans="1:11" ht="15" thickBot="1" x14ac:dyDescent="0.35">
      <c r="A52" s="4">
        <v>46023</v>
      </c>
      <c r="B52" s="5" t="s">
        <v>33</v>
      </c>
      <c r="C52" s="5" t="s">
        <v>12</v>
      </c>
      <c r="D52" s="14" t="s">
        <v>62</v>
      </c>
      <c r="E52" s="5" t="s">
        <v>14</v>
      </c>
      <c r="F52" s="5">
        <v>301.39393939394</v>
      </c>
      <c r="G52" s="5">
        <v>-1540.6060606060601</v>
      </c>
      <c r="H52" s="5">
        <v>54242.424242424298</v>
      </c>
      <c r="I52" s="5">
        <v>-1730.30303030301</v>
      </c>
      <c r="J52" s="5">
        <v>55972.727272727301</v>
      </c>
      <c r="K52" s="6">
        <v>1.57654545454545</v>
      </c>
    </row>
    <row r="53" spans="1:11" ht="15" thickBot="1" x14ac:dyDescent="0.35">
      <c r="A53" s="4">
        <v>46058</v>
      </c>
      <c r="B53" s="5" t="s">
        <v>34</v>
      </c>
      <c r="C53" s="5" t="s">
        <v>15</v>
      </c>
      <c r="D53" s="5" t="s">
        <v>63</v>
      </c>
      <c r="E53" s="5" t="s">
        <v>17</v>
      </c>
      <c r="F53" s="5">
        <v>306.54545454545502</v>
      </c>
      <c r="G53" s="5">
        <v>-1625.45454545454</v>
      </c>
      <c r="H53" s="5">
        <v>53981.818181818198</v>
      </c>
      <c r="I53" s="5">
        <v>-2672.7272727273098</v>
      </c>
      <c r="J53" s="5">
        <v>56654.5454545455</v>
      </c>
      <c r="K53" s="6">
        <v>1.5889090909090899</v>
      </c>
    </row>
    <row r="54" spans="1:11" ht="15" thickBot="1" x14ac:dyDescent="0.35">
      <c r="A54" s="4">
        <v>46091</v>
      </c>
      <c r="B54" s="5" t="s">
        <v>35</v>
      </c>
      <c r="C54" s="5" t="s">
        <v>18</v>
      </c>
      <c r="D54" s="14" t="s">
        <v>64</v>
      </c>
      <c r="E54" s="5" t="s">
        <v>20</v>
      </c>
      <c r="F54" s="5">
        <v>311.69696969696997</v>
      </c>
      <c r="G54" s="5">
        <v>-1710.30303030303</v>
      </c>
      <c r="H54" s="5">
        <v>53721.212121212098</v>
      </c>
      <c r="I54" s="5">
        <v>-3615.15151515151</v>
      </c>
      <c r="J54" s="5">
        <v>57336.363636363698</v>
      </c>
      <c r="K54" s="6">
        <v>1.6012727272727301</v>
      </c>
    </row>
    <row r="55" spans="1:11" ht="15" thickBot="1" x14ac:dyDescent="0.35">
      <c r="A55" s="4">
        <v>46127</v>
      </c>
      <c r="B55" s="5" t="s">
        <v>46</v>
      </c>
      <c r="C55" s="5" t="s">
        <v>21</v>
      </c>
      <c r="D55" s="5" t="s">
        <v>65</v>
      </c>
      <c r="E55" s="5" t="s">
        <v>14</v>
      </c>
      <c r="F55" s="5">
        <v>316.84848484848499</v>
      </c>
      <c r="G55" s="5">
        <v>-1795.15151515151</v>
      </c>
      <c r="H55" s="5">
        <v>53460.6060606061</v>
      </c>
      <c r="I55" s="5">
        <v>-4557.5757575757098</v>
      </c>
      <c r="J55" s="5">
        <v>58018.181818181904</v>
      </c>
      <c r="K55" s="6">
        <v>1.61363636363636</v>
      </c>
    </row>
    <row r="56" spans="1:11" ht="15" thickBot="1" x14ac:dyDescent="0.35">
      <c r="A56" s="4">
        <v>46162</v>
      </c>
      <c r="B56" s="5" t="s">
        <v>47</v>
      </c>
      <c r="C56" s="5" t="s">
        <v>12</v>
      </c>
      <c r="D56" s="14" t="s">
        <v>66</v>
      </c>
      <c r="E56" s="5" t="s">
        <v>20</v>
      </c>
      <c r="F56" s="5">
        <v>322</v>
      </c>
      <c r="G56" s="5">
        <v>-1880</v>
      </c>
      <c r="H56" s="5">
        <v>53200</v>
      </c>
      <c r="I56" s="5">
        <v>-5500.00000000001</v>
      </c>
      <c r="J56" s="5">
        <v>58700</v>
      </c>
      <c r="K56" s="6">
        <v>1.6259999999999999</v>
      </c>
    </row>
    <row r="57" spans="1:11" ht="15" thickBot="1" x14ac:dyDescent="0.35">
      <c r="A57" s="4">
        <v>46195</v>
      </c>
      <c r="B57" s="5" t="s">
        <v>48</v>
      </c>
      <c r="C57" s="5" t="s">
        <v>15</v>
      </c>
      <c r="D57" s="5" t="s">
        <v>67</v>
      </c>
      <c r="E57" s="5" t="s">
        <v>14</v>
      </c>
      <c r="F57" s="5">
        <v>327.15151515151501</v>
      </c>
      <c r="G57" s="5">
        <v>-1964.84848484848</v>
      </c>
      <c r="H57" s="5">
        <v>52939.393939394002</v>
      </c>
      <c r="I57" s="5">
        <v>-6442.4242424242102</v>
      </c>
      <c r="J57" s="5">
        <v>59381.818181818198</v>
      </c>
      <c r="K57" s="6">
        <v>1.63836363636364</v>
      </c>
    </row>
    <row r="58" spans="1:11" ht="15" thickBot="1" x14ac:dyDescent="0.35">
      <c r="A58" s="4">
        <v>46228</v>
      </c>
      <c r="B58" s="5" t="s">
        <v>49</v>
      </c>
      <c r="C58" s="5" t="s">
        <v>18</v>
      </c>
      <c r="D58" s="14" t="s">
        <v>13</v>
      </c>
      <c r="E58" s="5" t="s">
        <v>17</v>
      </c>
      <c r="F58" s="5">
        <v>332.30303030303003</v>
      </c>
      <c r="G58" s="5">
        <v>-2049.69696969697</v>
      </c>
      <c r="H58" s="5">
        <v>52678.787878787902</v>
      </c>
      <c r="I58" s="5">
        <v>-7384.8484848485105</v>
      </c>
      <c r="J58" s="5">
        <v>60063.636363636397</v>
      </c>
      <c r="K58" s="6">
        <v>1.6507272727272699</v>
      </c>
    </row>
    <row r="59" spans="1:11" ht="15" thickBot="1" x14ac:dyDescent="0.35">
      <c r="A59" s="4">
        <v>46262</v>
      </c>
      <c r="B59" s="5" t="s">
        <v>40</v>
      </c>
      <c r="C59" s="5" t="s">
        <v>21</v>
      </c>
      <c r="D59" s="5" t="s">
        <v>16</v>
      </c>
      <c r="E59" s="5" t="s">
        <v>20</v>
      </c>
      <c r="F59" s="5">
        <v>337.45454545454601</v>
      </c>
      <c r="G59" s="5">
        <v>-2134.54545454545</v>
      </c>
      <c r="H59" s="5">
        <v>52418.181818181802</v>
      </c>
      <c r="I59" s="5">
        <v>-8327.2727272727097</v>
      </c>
      <c r="J59" s="5">
        <v>60745.454545454602</v>
      </c>
      <c r="K59" s="6">
        <v>1.6630909090909101</v>
      </c>
    </row>
    <row r="60" spans="1:11" ht="15" thickBot="1" x14ac:dyDescent="0.35">
      <c r="A60" s="4">
        <v>46267</v>
      </c>
      <c r="B60" s="5" t="s">
        <v>41</v>
      </c>
      <c r="C60" s="5" t="s">
        <v>12</v>
      </c>
      <c r="D60" s="14" t="s">
        <v>19</v>
      </c>
      <c r="E60" s="5" t="s">
        <v>14</v>
      </c>
      <c r="F60" s="5">
        <v>342.60606060606102</v>
      </c>
      <c r="G60" s="5">
        <v>-2219.3939393939399</v>
      </c>
      <c r="H60" s="5">
        <v>52157.575757575803</v>
      </c>
      <c r="I60" s="5">
        <v>-9269.6969696969099</v>
      </c>
      <c r="J60" s="5">
        <v>61427.272727272801</v>
      </c>
      <c r="K60" s="6">
        <v>1.67545454545455</v>
      </c>
    </row>
    <row r="61" spans="1:11" ht="15" thickBot="1" x14ac:dyDescent="0.35">
      <c r="A61" s="4">
        <v>46300</v>
      </c>
      <c r="B61" s="5" t="s">
        <v>42</v>
      </c>
      <c r="C61" s="5" t="s">
        <v>15</v>
      </c>
      <c r="D61" s="5" t="s">
        <v>22</v>
      </c>
      <c r="E61" s="5" t="s">
        <v>17</v>
      </c>
      <c r="F61" s="5">
        <v>347.75757575757598</v>
      </c>
      <c r="G61" s="5">
        <v>-2304.2424242424199</v>
      </c>
      <c r="H61" s="5">
        <v>51896.969696969703</v>
      </c>
      <c r="I61" s="5">
        <v>-10212.121212121199</v>
      </c>
      <c r="J61" s="5">
        <v>62109.090909090897</v>
      </c>
      <c r="K61" s="6">
        <v>1.6878181818181801</v>
      </c>
    </row>
    <row r="62" spans="1:11" ht="15" thickBot="1" x14ac:dyDescent="0.35">
      <c r="A62" s="4">
        <v>46023</v>
      </c>
      <c r="B62" s="5" t="s">
        <v>43</v>
      </c>
      <c r="C62" s="5" t="s">
        <v>12</v>
      </c>
      <c r="D62" s="14" t="s">
        <v>58</v>
      </c>
      <c r="E62" s="5" t="s">
        <v>14</v>
      </c>
      <c r="F62" s="5">
        <v>352.90909090909099</v>
      </c>
      <c r="G62" s="5">
        <v>-2389.0909090909099</v>
      </c>
      <c r="H62" s="5">
        <v>51636.363636363698</v>
      </c>
      <c r="I62" s="5">
        <v>-11154.545454545399</v>
      </c>
      <c r="J62" s="5">
        <v>62790.909090909103</v>
      </c>
      <c r="K62" s="6">
        <v>1.70018181818182</v>
      </c>
    </row>
    <row r="63" spans="1:11" ht="15" thickBot="1" x14ac:dyDescent="0.35">
      <c r="A63" s="4">
        <v>46058</v>
      </c>
      <c r="B63" s="5" t="s">
        <v>44</v>
      </c>
      <c r="C63" s="5" t="s">
        <v>15</v>
      </c>
      <c r="D63" s="5" t="s">
        <v>59</v>
      </c>
      <c r="E63" s="5" t="s">
        <v>17</v>
      </c>
      <c r="F63" s="5">
        <v>358.06060606060601</v>
      </c>
      <c r="G63" s="5">
        <v>-2473.9393939393899</v>
      </c>
      <c r="H63" s="5">
        <v>51375.757575757598</v>
      </c>
      <c r="I63" s="5">
        <v>-12096.9696969697</v>
      </c>
      <c r="J63" s="5">
        <v>63472.727272727301</v>
      </c>
      <c r="K63" s="6">
        <v>1.7125454545454499</v>
      </c>
    </row>
    <row r="64" spans="1:11" ht="15" thickBot="1" x14ac:dyDescent="0.35">
      <c r="A64" s="4">
        <v>46091</v>
      </c>
      <c r="B64" s="5" t="s">
        <v>45</v>
      </c>
      <c r="C64" s="5" t="s">
        <v>18</v>
      </c>
      <c r="D64" s="14" t="s">
        <v>60</v>
      </c>
      <c r="E64" s="5" t="s">
        <v>20</v>
      </c>
      <c r="F64" s="5">
        <v>363.21212121212102</v>
      </c>
      <c r="G64" s="5">
        <v>-2558.7878787878799</v>
      </c>
      <c r="H64" s="5">
        <v>51115.151515151498</v>
      </c>
      <c r="I64" s="5">
        <v>-13039.3939393939</v>
      </c>
      <c r="J64" s="5">
        <v>64154.5454545455</v>
      </c>
      <c r="K64" s="6">
        <v>1.7249090909090901</v>
      </c>
    </row>
    <row r="65" spans="1:11" ht="15" thickBot="1" x14ac:dyDescent="0.35">
      <c r="A65" s="4">
        <v>46127</v>
      </c>
      <c r="B65" s="5" t="s">
        <v>26</v>
      </c>
      <c r="C65" s="5" t="s">
        <v>21</v>
      </c>
      <c r="D65" s="5" t="s">
        <v>61</v>
      </c>
      <c r="E65" s="5" t="s">
        <v>14</v>
      </c>
      <c r="F65" s="5">
        <v>368.363636363637</v>
      </c>
      <c r="G65" s="5">
        <v>-2643.6363636363599</v>
      </c>
      <c r="H65" s="5">
        <v>50854.5454545455</v>
      </c>
      <c r="I65" s="5">
        <v>-13981.8181818182</v>
      </c>
      <c r="J65" s="5">
        <v>64836.363636363698</v>
      </c>
      <c r="K65" s="6">
        <v>1.73727272727273</v>
      </c>
    </row>
    <row r="66" spans="1:11" ht="15" thickBot="1" x14ac:dyDescent="0.35">
      <c r="A66" s="4">
        <v>46162</v>
      </c>
      <c r="B66" s="5" t="s">
        <v>27</v>
      </c>
      <c r="C66" s="5" t="s">
        <v>12</v>
      </c>
      <c r="D66" s="14" t="s">
        <v>62</v>
      </c>
      <c r="E66" s="5" t="s">
        <v>20</v>
      </c>
      <c r="F66" s="5">
        <v>373.51515151515201</v>
      </c>
      <c r="G66" s="5">
        <v>-2728.4848484848499</v>
      </c>
      <c r="H66" s="5">
        <v>50593.939393939399</v>
      </c>
      <c r="I66" s="5">
        <v>-14924.2424242424</v>
      </c>
      <c r="J66" s="5">
        <v>65518.181818181904</v>
      </c>
      <c r="K66" s="6">
        <v>1.7496363636363601</v>
      </c>
    </row>
    <row r="67" spans="1:11" ht="15" thickBot="1" x14ac:dyDescent="0.35">
      <c r="A67" s="4">
        <v>46195</v>
      </c>
      <c r="B67" s="5" t="s">
        <v>28</v>
      </c>
      <c r="C67" s="5" t="s">
        <v>15</v>
      </c>
      <c r="D67" s="5" t="s">
        <v>63</v>
      </c>
      <c r="E67" s="5" t="s">
        <v>14</v>
      </c>
      <c r="F67" s="5">
        <v>378.66666666666703</v>
      </c>
      <c r="G67" s="5">
        <v>-2813.3333333333298</v>
      </c>
      <c r="H67" s="5">
        <v>50333.333333333401</v>
      </c>
      <c r="I67" s="5">
        <v>-15866.666666666601</v>
      </c>
      <c r="J67" s="5">
        <v>66200</v>
      </c>
      <c r="K67" s="6">
        <v>1.762</v>
      </c>
    </row>
    <row r="68" spans="1:11" ht="15" thickBot="1" x14ac:dyDescent="0.35">
      <c r="A68" s="4">
        <v>46228</v>
      </c>
      <c r="B68" s="5" t="s">
        <v>29</v>
      </c>
      <c r="C68" s="5" t="s">
        <v>18</v>
      </c>
      <c r="D68" s="14" t="s">
        <v>64</v>
      </c>
      <c r="E68" s="5" t="s">
        <v>17</v>
      </c>
      <c r="F68" s="5">
        <v>383.81818181818198</v>
      </c>
      <c r="G68" s="5">
        <v>-2898.1818181818198</v>
      </c>
      <c r="H68" s="5">
        <v>50072.727272727301</v>
      </c>
      <c r="I68" s="5">
        <v>-16809.090909090901</v>
      </c>
      <c r="J68" s="5">
        <v>66881.818181818206</v>
      </c>
      <c r="K68" s="6">
        <v>1.7743636363636399</v>
      </c>
    </row>
    <row r="69" spans="1:11" ht="15" thickBot="1" x14ac:dyDescent="0.35">
      <c r="A69" s="4">
        <v>46262</v>
      </c>
      <c r="B69" s="5" t="s">
        <v>24</v>
      </c>
      <c r="C69" s="5" t="s">
        <v>21</v>
      </c>
      <c r="D69" s="5" t="s">
        <v>65</v>
      </c>
      <c r="E69" s="5" t="s">
        <v>20</v>
      </c>
      <c r="F69" s="5">
        <v>388.969696969697</v>
      </c>
      <c r="G69" s="5">
        <v>-2983.0303030302998</v>
      </c>
      <c r="H69" s="5">
        <v>49812.121212121201</v>
      </c>
      <c r="I69" s="5">
        <v>-17751.515151515101</v>
      </c>
      <c r="J69" s="5">
        <v>67563.636363636397</v>
      </c>
      <c r="K69" s="6">
        <v>1.7867272727272701</v>
      </c>
    </row>
    <row r="70" spans="1:11" ht="15" thickBot="1" x14ac:dyDescent="0.35">
      <c r="A70" s="4">
        <v>46267</v>
      </c>
      <c r="B70" s="5" t="s">
        <v>25</v>
      </c>
      <c r="C70" s="5" t="s">
        <v>12</v>
      </c>
      <c r="D70" s="14" t="s">
        <v>66</v>
      </c>
      <c r="E70" s="5" t="s">
        <v>14</v>
      </c>
      <c r="F70" s="5">
        <v>394.12121212121201</v>
      </c>
      <c r="G70" s="5">
        <v>-3067.8787878787898</v>
      </c>
      <c r="H70" s="5">
        <v>49551.515151515203</v>
      </c>
      <c r="I70" s="5">
        <v>-18693.939393939399</v>
      </c>
      <c r="J70" s="5">
        <v>68245.454545454602</v>
      </c>
      <c r="K70" s="6">
        <v>1.79909090909091</v>
      </c>
    </row>
    <row r="71" spans="1:11" ht="15" thickBot="1" x14ac:dyDescent="0.35">
      <c r="A71" s="4">
        <v>46300</v>
      </c>
      <c r="B71" s="5" t="s">
        <v>50</v>
      </c>
      <c r="C71" s="5" t="s">
        <v>15</v>
      </c>
      <c r="D71" s="5" t="s">
        <v>67</v>
      </c>
      <c r="E71" s="5" t="s">
        <v>17</v>
      </c>
      <c r="F71" s="5">
        <v>399.27272727272702</v>
      </c>
      <c r="G71" s="5">
        <v>-3152.7272727272698</v>
      </c>
      <c r="H71" s="5">
        <v>49290.909090909103</v>
      </c>
      <c r="I71" s="5">
        <v>-19636.3636363636</v>
      </c>
      <c r="J71" s="5">
        <v>68927.272727272793</v>
      </c>
      <c r="K71" s="6">
        <v>1.8114545454545501</v>
      </c>
    </row>
    <row r="72" spans="1:11" ht="15" thickBot="1" x14ac:dyDescent="0.35">
      <c r="A72" s="4">
        <v>46023</v>
      </c>
      <c r="B72" s="5" t="s">
        <v>51</v>
      </c>
      <c r="C72" s="5" t="s">
        <v>12</v>
      </c>
      <c r="D72" s="14" t="s">
        <v>13</v>
      </c>
      <c r="E72" s="5" t="s">
        <v>14</v>
      </c>
      <c r="F72" s="5">
        <v>404.424242424243</v>
      </c>
      <c r="G72" s="5">
        <v>-3237.5757575757598</v>
      </c>
      <c r="H72" s="5">
        <v>49030.303030303097</v>
      </c>
      <c r="I72" s="5">
        <v>-20578.787878787902</v>
      </c>
      <c r="J72" s="5">
        <v>69609.090909090897</v>
      </c>
      <c r="K72" s="6">
        <v>1.82381818181818</v>
      </c>
    </row>
    <row r="73" spans="1:11" ht="15" thickBot="1" x14ac:dyDescent="0.35">
      <c r="A73" s="4">
        <v>46058</v>
      </c>
      <c r="B73" s="5" t="s">
        <v>52</v>
      </c>
      <c r="C73" s="5" t="s">
        <v>15</v>
      </c>
      <c r="D73" s="5" t="s">
        <v>16</v>
      </c>
      <c r="E73" s="5" t="s">
        <v>17</v>
      </c>
      <c r="F73" s="5">
        <v>409.57575757575802</v>
      </c>
      <c r="G73" s="5">
        <v>-3322.4242424242402</v>
      </c>
      <c r="H73" s="5">
        <v>48769.696969696997</v>
      </c>
      <c r="I73" s="5">
        <v>-21521.212121212098</v>
      </c>
      <c r="J73" s="5">
        <v>70290.909090909103</v>
      </c>
      <c r="K73" s="6">
        <v>1.8361818181818199</v>
      </c>
    </row>
    <row r="74" spans="1:11" ht="15" thickBot="1" x14ac:dyDescent="0.35">
      <c r="A74" s="4">
        <v>46091</v>
      </c>
      <c r="B74" s="5" t="s">
        <v>53</v>
      </c>
      <c r="C74" s="5" t="s">
        <v>18</v>
      </c>
      <c r="D74" s="14" t="s">
        <v>19</v>
      </c>
      <c r="E74" s="5" t="s">
        <v>20</v>
      </c>
      <c r="F74" s="5">
        <v>414.72727272727298</v>
      </c>
      <c r="G74" s="5">
        <v>-3407.2727272727202</v>
      </c>
      <c r="H74" s="5">
        <v>48509.090909090897</v>
      </c>
      <c r="I74" s="5">
        <v>-22463.636363636298</v>
      </c>
      <c r="J74" s="5">
        <v>70972.727272727294</v>
      </c>
      <c r="K74" s="6">
        <v>1.8485454545454501</v>
      </c>
    </row>
    <row r="75" spans="1:11" ht="15" thickBot="1" x14ac:dyDescent="0.35">
      <c r="A75" s="4">
        <v>46127</v>
      </c>
      <c r="B75" s="5" t="s">
        <v>36</v>
      </c>
      <c r="C75" s="5" t="s">
        <v>21</v>
      </c>
      <c r="D75" s="5" t="s">
        <v>22</v>
      </c>
      <c r="E75" s="5" t="s">
        <v>14</v>
      </c>
      <c r="F75" s="5">
        <v>419.87878787878799</v>
      </c>
      <c r="G75" s="5">
        <v>-3492.1212121212102</v>
      </c>
      <c r="H75" s="5">
        <v>48248.484848484899</v>
      </c>
      <c r="I75" s="5">
        <v>-23406.060606060601</v>
      </c>
      <c r="J75" s="5">
        <v>71654.5454545455</v>
      </c>
      <c r="K75" s="6">
        <v>1.86090909090909</v>
      </c>
    </row>
    <row r="76" spans="1:11" ht="15" thickBot="1" x14ac:dyDescent="0.35">
      <c r="A76" s="4">
        <v>46162</v>
      </c>
      <c r="B76" s="5" t="s">
        <v>37</v>
      </c>
      <c r="C76" s="5" t="s">
        <v>12</v>
      </c>
      <c r="D76" s="14" t="s">
        <v>58</v>
      </c>
      <c r="E76" s="5" t="s">
        <v>20</v>
      </c>
      <c r="F76" s="5">
        <v>425.030303030303</v>
      </c>
      <c r="G76" s="5">
        <v>-3576.9696969696902</v>
      </c>
      <c r="H76" s="5">
        <v>47987.878787878799</v>
      </c>
      <c r="I76" s="5">
        <v>-24348.484848484801</v>
      </c>
      <c r="J76" s="5">
        <v>72336.363636363705</v>
      </c>
      <c r="K76" s="6">
        <v>1.8732727272727301</v>
      </c>
    </row>
    <row r="77" spans="1:11" ht="15" thickBot="1" x14ac:dyDescent="0.35">
      <c r="A77" s="4">
        <v>46195</v>
      </c>
      <c r="B77" s="5" t="s">
        <v>38</v>
      </c>
      <c r="C77" s="5" t="s">
        <v>15</v>
      </c>
      <c r="D77" s="5" t="s">
        <v>59</v>
      </c>
      <c r="E77" s="5" t="s">
        <v>14</v>
      </c>
      <c r="F77" s="5">
        <v>430.18181818181802</v>
      </c>
      <c r="G77" s="5">
        <v>-3661.8181818181802</v>
      </c>
      <c r="H77" s="5">
        <v>47727.272727272801</v>
      </c>
      <c r="I77" s="5">
        <v>-25290.909090909099</v>
      </c>
      <c r="J77" s="5">
        <v>73018.181818181896</v>
      </c>
      <c r="K77" s="6">
        <v>1.88563636363636</v>
      </c>
    </row>
    <row r="78" spans="1:11" ht="15" thickBot="1" x14ac:dyDescent="0.35">
      <c r="A78" s="4">
        <v>46228</v>
      </c>
      <c r="B78" s="5" t="s">
        <v>39</v>
      </c>
      <c r="C78" s="5" t="s">
        <v>18</v>
      </c>
      <c r="D78" s="14" t="s">
        <v>60</v>
      </c>
      <c r="E78" s="5" t="s">
        <v>17</v>
      </c>
      <c r="F78" s="5">
        <v>435.33333333333297</v>
      </c>
      <c r="G78" s="5">
        <v>-3746.6666666666601</v>
      </c>
      <c r="H78" s="5">
        <v>47466.666666666701</v>
      </c>
      <c r="I78" s="5">
        <v>-26233.333333333299</v>
      </c>
      <c r="J78" s="5">
        <v>73700</v>
      </c>
      <c r="K78" s="6">
        <v>1.8979999999999999</v>
      </c>
    </row>
    <row r="79" spans="1:11" ht="15" thickBot="1" x14ac:dyDescent="0.35">
      <c r="A79" s="4">
        <v>46262</v>
      </c>
      <c r="B79" s="5" t="s">
        <v>27</v>
      </c>
      <c r="C79" s="5" t="s">
        <v>21</v>
      </c>
      <c r="D79" s="5" t="s">
        <v>61</v>
      </c>
      <c r="E79" s="5" t="s">
        <v>20</v>
      </c>
      <c r="F79" s="5">
        <v>440.48484848484901</v>
      </c>
      <c r="G79" s="5">
        <v>-3831.5151515151501</v>
      </c>
      <c r="H79" s="5">
        <v>47206.060606060601</v>
      </c>
      <c r="I79" s="5">
        <v>-27175.757575757601</v>
      </c>
      <c r="J79" s="5">
        <v>74381.818181818206</v>
      </c>
      <c r="K79" s="6">
        <v>1.91036363636364</v>
      </c>
    </row>
    <row r="80" spans="1:11" ht="15" thickBot="1" x14ac:dyDescent="0.35">
      <c r="A80" s="4">
        <v>46267</v>
      </c>
      <c r="B80" s="5" t="s">
        <v>54</v>
      </c>
      <c r="C80" s="5" t="s">
        <v>12</v>
      </c>
      <c r="D80" s="14" t="s">
        <v>62</v>
      </c>
      <c r="E80" s="5" t="s">
        <v>14</v>
      </c>
      <c r="F80" s="5">
        <v>445.63636363636402</v>
      </c>
      <c r="G80" s="5">
        <v>-3916.3636363636301</v>
      </c>
      <c r="H80" s="5">
        <v>46945.454545454602</v>
      </c>
      <c r="I80" s="5">
        <v>-28118.181818181802</v>
      </c>
      <c r="J80" s="5">
        <v>75063.636363636397</v>
      </c>
      <c r="K80" s="6">
        <v>1.92272727272727</v>
      </c>
    </row>
    <row r="81" spans="1:11" ht="15" thickBot="1" x14ac:dyDescent="0.35">
      <c r="A81" s="4">
        <v>46300</v>
      </c>
      <c r="B81" s="5" t="s">
        <v>55</v>
      </c>
      <c r="C81" s="5" t="s">
        <v>15</v>
      </c>
      <c r="D81" s="5" t="s">
        <v>63</v>
      </c>
      <c r="E81" s="5" t="s">
        <v>17</v>
      </c>
      <c r="F81" s="5">
        <v>450.78787878787898</v>
      </c>
      <c r="G81" s="5">
        <v>-4001.2121212121201</v>
      </c>
      <c r="H81" s="5">
        <v>46684.848484848502</v>
      </c>
      <c r="I81" s="5">
        <v>-29060.606060605998</v>
      </c>
      <c r="J81" s="5">
        <v>75745.454545454602</v>
      </c>
      <c r="K81" s="6">
        <v>1.9350909090909101</v>
      </c>
    </row>
    <row r="82" spans="1:11" ht="15" thickBot="1" x14ac:dyDescent="0.35">
      <c r="A82" s="4">
        <v>46023</v>
      </c>
      <c r="B82" s="5" t="s">
        <v>11</v>
      </c>
      <c r="C82" s="5" t="s">
        <v>12</v>
      </c>
      <c r="D82" s="14" t="s">
        <v>64</v>
      </c>
      <c r="E82" s="5" t="s">
        <v>14</v>
      </c>
      <c r="F82" s="5">
        <v>455.93939393939399</v>
      </c>
      <c r="G82" s="5">
        <v>-4086.0606060606001</v>
      </c>
      <c r="H82" s="5">
        <v>46424.242424242497</v>
      </c>
      <c r="I82" s="5">
        <v>-30003.0303030303</v>
      </c>
      <c r="J82" s="5">
        <v>76427.272727272793</v>
      </c>
      <c r="K82" s="6">
        <v>1.94745454545455</v>
      </c>
    </row>
    <row r="83" spans="1:11" ht="15" thickBot="1" x14ac:dyDescent="0.35">
      <c r="A83" s="4">
        <v>46058</v>
      </c>
      <c r="B83" s="5" t="s">
        <v>23</v>
      </c>
      <c r="C83" s="5" t="s">
        <v>15</v>
      </c>
      <c r="D83" s="5" t="s">
        <v>65</v>
      </c>
      <c r="E83" s="5" t="s">
        <v>17</v>
      </c>
      <c r="F83" s="5">
        <v>461.09090909090901</v>
      </c>
      <c r="G83" s="5">
        <v>-4170.9090909090901</v>
      </c>
      <c r="H83" s="5">
        <v>46163.636363636397</v>
      </c>
      <c r="I83" s="5">
        <v>-30945.4545454545</v>
      </c>
      <c r="J83" s="5">
        <v>77109.090909090897</v>
      </c>
      <c r="K83" s="6">
        <v>1.9598181818181899</v>
      </c>
    </row>
    <row r="84" spans="1:11" ht="15" thickBot="1" x14ac:dyDescent="0.35">
      <c r="A84" s="4">
        <v>46091</v>
      </c>
      <c r="B84" s="5" t="s">
        <v>56</v>
      </c>
      <c r="C84" s="5" t="s">
        <v>18</v>
      </c>
      <c r="D84" s="14" t="s">
        <v>66</v>
      </c>
      <c r="E84" s="5" t="s">
        <v>20</v>
      </c>
      <c r="F84" s="5">
        <v>466.24242424242402</v>
      </c>
      <c r="G84" s="5">
        <v>-4255.7575757575696</v>
      </c>
      <c r="H84" s="5">
        <v>45903.030303030297</v>
      </c>
      <c r="I84" s="5">
        <v>-31887.878787878799</v>
      </c>
      <c r="J84" s="5">
        <v>77790.909090909103</v>
      </c>
      <c r="K84" s="6">
        <v>1.97218181818182</v>
      </c>
    </row>
    <row r="85" spans="1:11" ht="15" thickBot="1" x14ac:dyDescent="0.35">
      <c r="A85" s="4">
        <v>46127</v>
      </c>
      <c r="B85" s="5" t="s">
        <v>46</v>
      </c>
      <c r="C85" s="5" t="s">
        <v>21</v>
      </c>
      <c r="D85" s="5" t="s">
        <v>67</v>
      </c>
      <c r="E85" s="5" t="s">
        <v>14</v>
      </c>
      <c r="F85" s="5">
        <v>471.39393939394</v>
      </c>
      <c r="G85" s="5">
        <v>-4340.6060606060601</v>
      </c>
      <c r="H85" s="5">
        <v>45642.424242424298</v>
      </c>
      <c r="I85" s="5">
        <v>-32830.303030303003</v>
      </c>
      <c r="J85" s="5">
        <v>78472.727272727294</v>
      </c>
      <c r="K85" s="6">
        <v>1.9845454545454599</v>
      </c>
    </row>
    <row r="86" spans="1:11" ht="15" thickBot="1" x14ac:dyDescent="0.35">
      <c r="A86" s="4">
        <v>46162</v>
      </c>
      <c r="B86" s="5" t="s">
        <v>47</v>
      </c>
      <c r="C86" s="5" t="s">
        <v>12</v>
      </c>
      <c r="D86" s="14" t="s">
        <v>13</v>
      </c>
      <c r="E86" s="5" t="s">
        <v>20</v>
      </c>
      <c r="F86" s="5">
        <v>476.54545454545502</v>
      </c>
      <c r="G86" s="5">
        <v>-4425.4545454545396</v>
      </c>
      <c r="H86" s="5">
        <v>45381.818181818198</v>
      </c>
      <c r="I86" s="5">
        <v>-33772.727272727301</v>
      </c>
      <c r="J86" s="5">
        <v>79154.5454545455</v>
      </c>
      <c r="K86" s="6">
        <v>1.9969090909090901</v>
      </c>
    </row>
    <row r="87" spans="1:11" ht="15" thickBot="1" x14ac:dyDescent="0.35">
      <c r="A87" s="4">
        <v>46195</v>
      </c>
      <c r="B87" s="5" t="s">
        <v>48</v>
      </c>
      <c r="C87" s="5" t="s">
        <v>15</v>
      </c>
      <c r="D87" s="5" t="s">
        <v>16</v>
      </c>
      <c r="E87" s="5" t="s">
        <v>14</v>
      </c>
      <c r="F87" s="5">
        <v>481.69696969696997</v>
      </c>
      <c r="G87" s="5">
        <v>-4510.30303030303</v>
      </c>
      <c r="H87" s="5">
        <v>45121.212121212098</v>
      </c>
      <c r="I87" s="5">
        <v>-34715.151515151498</v>
      </c>
      <c r="J87" s="5">
        <v>79836.363636363705</v>
      </c>
      <c r="K87" s="6">
        <v>2.0092727272727302</v>
      </c>
    </row>
    <row r="88" spans="1:11" ht="15" thickBot="1" x14ac:dyDescent="0.35">
      <c r="A88" s="4">
        <v>46228</v>
      </c>
      <c r="B88" s="5" t="s">
        <v>49</v>
      </c>
      <c r="C88" s="5" t="s">
        <v>18</v>
      </c>
      <c r="D88" s="14" t="s">
        <v>19</v>
      </c>
      <c r="E88" s="5" t="s">
        <v>17</v>
      </c>
      <c r="F88" s="5">
        <v>486.84848484848499</v>
      </c>
      <c r="G88" s="5">
        <v>-4595.1515151515096</v>
      </c>
      <c r="H88" s="5">
        <v>44860.6060606061</v>
      </c>
      <c r="I88" s="5">
        <v>-35657.575757575702</v>
      </c>
      <c r="J88" s="5">
        <v>80518.181818181896</v>
      </c>
      <c r="K88" s="6">
        <v>2.0216363636363699</v>
      </c>
    </row>
    <row r="89" spans="1:11" ht="15" thickBot="1" x14ac:dyDescent="0.35">
      <c r="A89" s="4">
        <v>46262</v>
      </c>
      <c r="B89" s="5" t="s">
        <v>30</v>
      </c>
      <c r="C89" s="5" t="s">
        <v>21</v>
      </c>
      <c r="D89" s="5" t="s">
        <v>22</v>
      </c>
      <c r="E89" s="5" t="s">
        <v>20</v>
      </c>
      <c r="F89" s="5">
        <v>492</v>
      </c>
      <c r="G89" s="5">
        <v>-4680</v>
      </c>
      <c r="H89" s="5">
        <v>44600</v>
      </c>
      <c r="I89" s="5">
        <v>-36600</v>
      </c>
      <c r="J89" s="5">
        <v>81200</v>
      </c>
      <c r="K89" s="6">
        <v>2.0339999999999998</v>
      </c>
    </row>
    <row r="90" spans="1:11" ht="15" thickBot="1" x14ac:dyDescent="0.35">
      <c r="A90" s="4">
        <v>46267</v>
      </c>
      <c r="B90" s="5" t="s">
        <v>31</v>
      </c>
      <c r="C90" s="5" t="s">
        <v>12</v>
      </c>
      <c r="D90" s="14" t="s">
        <v>58</v>
      </c>
      <c r="E90" s="5" t="s">
        <v>14</v>
      </c>
      <c r="F90" s="5">
        <v>497.15151515151501</v>
      </c>
      <c r="G90" s="5">
        <v>-4764.8484848484804</v>
      </c>
      <c r="H90" s="5">
        <v>44339.393939394002</v>
      </c>
      <c r="I90" s="5">
        <v>-37542.424242424197</v>
      </c>
      <c r="J90" s="5">
        <v>81881.818181818206</v>
      </c>
      <c r="K90" s="6">
        <v>2.0463636363636399</v>
      </c>
    </row>
    <row r="91" spans="1:11" ht="15" thickBot="1" x14ac:dyDescent="0.35">
      <c r="A91" s="4">
        <v>46300</v>
      </c>
      <c r="B91" s="5" t="s">
        <v>32</v>
      </c>
      <c r="C91" s="5" t="s">
        <v>15</v>
      </c>
      <c r="D91" s="5" t="s">
        <v>59</v>
      </c>
      <c r="E91" s="5" t="s">
        <v>17</v>
      </c>
      <c r="F91" s="5">
        <v>502.30303030303003</v>
      </c>
      <c r="G91" s="5">
        <v>-4849.69696969697</v>
      </c>
      <c r="H91" s="5">
        <v>44078.787878787902</v>
      </c>
      <c r="I91" s="5">
        <v>-38484.848484848502</v>
      </c>
      <c r="J91" s="5">
        <v>82563.636363636397</v>
      </c>
      <c r="K91" s="6">
        <v>2.0587272727272801</v>
      </c>
    </row>
    <row r="92" spans="1:11" ht="15" thickBot="1" x14ac:dyDescent="0.35">
      <c r="A92" s="4">
        <v>46023</v>
      </c>
      <c r="B92" s="5" t="s">
        <v>33</v>
      </c>
      <c r="C92" s="5" t="s">
        <v>12</v>
      </c>
      <c r="D92" s="14" t="s">
        <v>60</v>
      </c>
      <c r="E92" s="5" t="s">
        <v>14</v>
      </c>
      <c r="F92" s="5">
        <v>507.45454545454601</v>
      </c>
      <c r="G92" s="5">
        <v>-4934.5454545454504</v>
      </c>
      <c r="H92" s="5">
        <v>43818.181818181802</v>
      </c>
      <c r="I92" s="5">
        <v>-39427.272727272699</v>
      </c>
      <c r="J92" s="5">
        <v>83245.454545454602</v>
      </c>
      <c r="K92" s="6">
        <v>2.07109090909091</v>
      </c>
    </row>
    <row r="93" spans="1:11" ht="15" thickBot="1" x14ac:dyDescent="0.35">
      <c r="A93" s="4">
        <v>46058</v>
      </c>
      <c r="B93" s="5" t="s">
        <v>34</v>
      </c>
      <c r="C93" s="5" t="s">
        <v>15</v>
      </c>
      <c r="D93" s="5" t="s">
        <v>61</v>
      </c>
      <c r="E93" s="5" t="s">
        <v>17</v>
      </c>
      <c r="F93" s="5">
        <v>512.60606060606096</v>
      </c>
      <c r="G93" s="5">
        <v>-5019.3939393939399</v>
      </c>
      <c r="H93" s="5">
        <v>43557.575757575803</v>
      </c>
      <c r="I93" s="5">
        <v>-40369.696969696903</v>
      </c>
      <c r="J93" s="5">
        <v>83927.272727272793</v>
      </c>
      <c r="K93" s="6">
        <v>2.0834545454545501</v>
      </c>
    </row>
    <row r="94" spans="1:11" ht="15" thickBot="1" x14ac:dyDescent="0.35">
      <c r="A94" s="4">
        <v>46091</v>
      </c>
      <c r="B94" s="5" t="s">
        <v>35</v>
      </c>
      <c r="C94" s="5" t="s">
        <v>18</v>
      </c>
      <c r="D94" s="14" t="s">
        <v>62</v>
      </c>
      <c r="E94" s="5" t="s">
        <v>20</v>
      </c>
      <c r="F94" s="5">
        <v>517.75757575757598</v>
      </c>
      <c r="G94" s="5">
        <v>-5104.2424242424204</v>
      </c>
      <c r="H94" s="5">
        <v>43296.969696969703</v>
      </c>
      <c r="I94" s="5">
        <v>-41312.121212121201</v>
      </c>
      <c r="J94" s="5">
        <v>84609.090909090897</v>
      </c>
      <c r="K94" s="6">
        <v>2.0958181818181898</v>
      </c>
    </row>
    <row r="95" spans="1:11" ht="15" thickBot="1" x14ac:dyDescent="0.35">
      <c r="A95" s="4">
        <v>46127</v>
      </c>
      <c r="B95" s="5" t="s">
        <v>26</v>
      </c>
      <c r="C95" s="5" t="s">
        <v>21</v>
      </c>
      <c r="D95" s="5" t="s">
        <v>63</v>
      </c>
      <c r="E95" s="5" t="s">
        <v>14</v>
      </c>
      <c r="F95" s="5">
        <v>522.90909090909099</v>
      </c>
      <c r="G95" s="5">
        <v>-5189.0909090909099</v>
      </c>
      <c r="H95" s="5">
        <v>43036.363636363698</v>
      </c>
      <c r="I95" s="5">
        <v>-42254.545454545398</v>
      </c>
      <c r="J95" s="5">
        <v>85290.909090909103</v>
      </c>
      <c r="K95" s="6">
        <v>2.1081818181818202</v>
      </c>
    </row>
    <row r="96" spans="1:11" ht="15" thickBot="1" x14ac:dyDescent="0.35">
      <c r="A96" s="4">
        <v>46162</v>
      </c>
      <c r="B96" s="5" t="s">
        <v>27</v>
      </c>
      <c r="C96" s="5" t="s">
        <v>12</v>
      </c>
      <c r="D96" s="14" t="s">
        <v>64</v>
      </c>
      <c r="E96" s="5" t="s">
        <v>20</v>
      </c>
      <c r="F96" s="5">
        <v>528.06060606060601</v>
      </c>
      <c r="G96" s="5">
        <v>-5273.9393939393904</v>
      </c>
      <c r="H96" s="5">
        <v>42775.757575757598</v>
      </c>
      <c r="I96" s="5">
        <v>-43196.969696969703</v>
      </c>
      <c r="J96" s="5">
        <v>85972.727272727294</v>
      </c>
      <c r="K96" s="6">
        <v>2.1205454545454598</v>
      </c>
    </row>
    <row r="97" spans="1:11" ht="15" thickBot="1" x14ac:dyDescent="0.35">
      <c r="A97" s="4">
        <v>46195</v>
      </c>
      <c r="B97" s="5" t="s">
        <v>28</v>
      </c>
      <c r="C97" s="5" t="s">
        <v>15</v>
      </c>
      <c r="D97" s="5" t="s">
        <v>65</v>
      </c>
      <c r="E97" s="5" t="s">
        <v>14</v>
      </c>
      <c r="F97" s="5">
        <v>533.21212121212102</v>
      </c>
      <c r="G97" s="5">
        <v>-5358.7878787878699</v>
      </c>
      <c r="H97" s="5">
        <v>42515.151515151498</v>
      </c>
      <c r="I97" s="5">
        <v>-44139.3939393939</v>
      </c>
      <c r="J97" s="5">
        <v>86654.5454545455</v>
      </c>
      <c r="K97" s="6">
        <v>2.1329090909090902</v>
      </c>
    </row>
    <row r="98" spans="1:11" ht="15" thickBot="1" x14ac:dyDescent="0.35">
      <c r="A98" s="4">
        <v>46228</v>
      </c>
      <c r="B98" s="5" t="s">
        <v>29</v>
      </c>
      <c r="C98" s="5" t="s">
        <v>18</v>
      </c>
      <c r="D98" s="14" t="s">
        <v>66</v>
      </c>
      <c r="E98" s="5" t="s">
        <v>17</v>
      </c>
      <c r="F98" s="5">
        <v>538.36363636363603</v>
      </c>
      <c r="G98" s="5">
        <v>-5443.6363636363603</v>
      </c>
      <c r="H98" s="5">
        <v>42254.5454545455</v>
      </c>
      <c r="I98" s="5">
        <v>-45081.818181818198</v>
      </c>
      <c r="J98" s="5">
        <v>87336.363636363705</v>
      </c>
      <c r="K98" s="6">
        <v>2.1452727272727299</v>
      </c>
    </row>
    <row r="99" spans="1:11" ht="15" thickBot="1" x14ac:dyDescent="0.35">
      <c r="A99" s="4">
        <v>46262</v>
      </c>
      <c r="B99" s="5" t="s">
        <v>40</v>
      </c>
      <c r="C99" s="5" t="s">
        <v>21</v>
      </c>
      <c r="D99" s="5" t="s">
        <v>67</v>
      </c>
      <c r="E99" s="5" t="s">
        <v>20</v>
      </c>
      <c r="F99" s="5">
        <v>543.51515151515196</v>
      </c>
      <c r="G99" s="5">
        <v>-5528.4848484848399</v>
      </c>
      <c r="H99" s="5">
        <v>41993.939393939399</v>
      </c>
      <c r="I99" s="5">
        <v>-46024.242424242402</v>
      </c>
      <c r="J99" s="5">
        <v>88018.181818181896</v>
      </c>
      <c r="K99" s="6">
        <v>2.15763636363637</v>
      </c>
    </row>
    <row r="100" spans="1:11" ht="15" thickBot="1" x14ac:dyDescent="0.35">
      <c r="A100" s="4">
        <v>46267</v>
      </c>
      <c r="B100" s="5" t="s">
        <v>41</v>
      </c>
      <c r="C100" s="5" t="s">
        <v>12</v>
      </c>
      <c r="D100" s="14" t="s">
        <v>13</v>
      </c>
      <c r="E100" s="5" t="s">
        <v>14</v>
      </c>
      <c r="F100" s="5">
        <v>548.66666666666697</v>
      </c>
      <c r="G100" s="5">
        <v>-5613.3333333333303</v>
      </c>
      <c r="H100" s="5">
        <v>41733.333333333401</v>
      </c>
      <c r="I100" s="5">
        <v>-46966.666666666599</v>
      </c>
      <c r="J100" s="5">
        <v>88700.000000000102</v>
      </c>
      <c r="K100" s="6">
        <v>2.17</v>
      </c>
    </row>
    <row r="101" spans="1:11" ht="15" thickBot="1" x14ac:dyDescent="0.35">
      <c r="A101" s="4">
        <v>46300</v>
      </c>
      <c r="B101" s="5" t="s">
        <v>42</v>
      </c>
      <c r="C101" s="5" t="s">
        <v>15</v>
      </c>
      <c r="D101" s="5" t="s">
        <v>16</v>
      </c>
      <c r="E101" s="5" t="s">
        <v>17</v>
      </c>
      <c r="F101" s="5">
        <v>553.81818181818198</v>
      </c>
      <c r="G101" s="5">
        <v>-5698.1818181818098</v>
      </c>
      <c r="H101" s="5">
        <v>41472.727272727301</v>
      </c>
      <c r="I101" s="5">
        <v>-47909.090909090897</v>
      </c>
      <c r="J101" s="5">
        <v>89381.818181818206</v>
      </c>
      <c r="K101" s="6">
        <v>2.1823636363636401</v>
      </c>
    </row>
  </sheetData>
  <phoneticPr fontId="4"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156A9-3DEF-4D7B-B47A-7FE2457185D4}">
  <dimension ref="A1:O101"/>
  <sheetViews>
    <sheetView topLeftCell="A77" workbookViewId="0">
      <selection activeCell="G102" sqref="G102"/>
    </sheetView>
  </sheetViews>
  <sheetFormatPr defaultRowHeight="14.4" x14ac:dyDescent="0.3"/>
  <cols>
    <col min="1" max="1" width="11.33203125" customWidth="1"/>
    <col min="2" max="2" width="10.33203125" bestFit="1" customWidth="1"/>
    <col min="3" max="3" width="9.77734375" customWidth="1"/>
    <col min="4" max="4" width="13.6640625" customWidth="1"/>
    <col min="5" max="5" width="19.88671875" customWidth="1"/>
    <col min="6" max="6" width="15" bestFit="1" customWidth="1"/>
    <col min="7" max="7" width="15.109375" customWidth="1"/>
    <col min="8" max="8" width="17.33203125" bestFit="1" customWidth="1"/>
    <col min="9" max="9" width="11.44140625" customWidth="1"/>
    <col min="10" max="10" width="11.5546875" customWidth="1"/>
    <col min="11" max="11" width="15.109375" bestFit="1" customWidth="1"/>
    <col min="12" max="12" width="18.33203125" customWidth="1"/>
  </cols>
  <sheetData>
    <row r="1" spans="1:15" ht="15" thickBot="1" x14ac:dyDescent="0.35">
      <c r="A1" s="9" t="s">
        <v>0</v>
      </c>
      <c r="B1" s="10" t="s">
        <v>1</v>
      </c>
      <c r="C1" s="10" t="s">
        <v>2</v>
      </c>
      <c r="D1" s="10" t="s">
        <v>3</v>
      </c>
      <c r="E1" s="10" t="s">
        <v>4</v>
      </c>
      <c r="F1" s="10" t="s">
        <v>5</v>
      </c>
      <c r="G1" s="10" t="s">
        <v>6</v>
      </c>
      <c r="H1" s="10" t="s">
        <v>7</v>
      </c>
      <c r="I1" s="10" t="s">
        <v>8</v>
      </c>
      <c r="J1" s="10" t="s">
        <v>9</v>
      </c>
      <c r="K1" s="17" t="s">
        <v>68</v>
      </c>
      <c r="L1" s="11" t="s">
        <v>10</v>
      </c>
      <c r="O1" s="23" t="s">
        <v>7</v>
      </c>
    </row>
    <row r="2" spans="1:15" ht="15" thickBot="1" x14ac:dyDescent="0.35">
      <c r="A2" s="7">
        <v>46023</v>
      </c>
      <c r="B2" s="5" t="s">
        <v>11</v>
      </c>
      <c r="C2" s="5" t="s">
        <v>12</v>
      </c>
      <c r="D2" s="5" t="s">
        <v>13</v>
      </c>
      <c r="E2" s="5" t="s">
        <v>14</v>
      </c>
      <c r="F2" s="5">
        <v>50</v>
      </c>
      <c r="G2" s="5">
        <f>-1200*-1</f>
        <v>1200</v>
      </c>
      <c r="H2" s="5">
        <f>Table1[[#This Row],[Units Sold]]*Table1[[#This Row],[Selling Price]]</f>
        <v>60000</v>
      </c>
      <c r="I2" s="5">
        <v>45000</v>
      </c>
      <c r="J2" s="5">
        <f>Table1[[#This Row],[Revenue]]-Table1[[#This Row],[Cost]]</f>
        <v>15000</v>
      </c>
      <c r="K2" s="18">
        <f>Table1[[#This Row],[Revenue]]/Table1[[#This Row],[Selling Price]]</f>
        <v>50</v>
      </c>
      <c r="L2" s="8">
        <f>Table1[[#This Row],[Revenue]]/Table1[[#This Row],[Target sales]]</f>
        <v>1200</v>
      </c>
      <c r="O2">
        <f>H34*-1</f>
        <v>-2782.2222222212181</v>
      </c>
    </row>
    <row r="3" spans="1:15" ht="15" thickBot="1" x14ac:dyDescent="0.35">
      <c r="A3" s="7">
        <v>46058</v>
      </c>
      <c r="B3" s="5" t="s">
        <v>24</v>
      </c>
      <c r="C3" s="5" t="s">
        <v>15</v>
      </c>
      <c r="D3" s="5" t="s">
        <v>16</v>
      </c>
      <c r="E3" s="5" t="s">
        <v>17</v>
      </c>
      <c r="F3" s="5">
        <v>120</v>
      </c>
      <c r="G3" s="5">
        <v>500</v>
      </c>
      <c r="H3" s="5">
        <f>Table1[[#This Row],[Units Sold]]*Table1[[#This Row],[Selling Price]]</f>
        <v>60000</v>
      </c>
      <c r="I3" s="5">
        <v>20000</v>
      </c>
      <c r="J3" s="5">
        <f>Table1[[#This Row],[Revenue]]-Table1[[#This Row],[Cost]]</f>
        <v>40000</v>
      </c>
      <c r="K3" s="18">
        <f>Table1[[#This Row],[Revenue]]/Table1[[#This Row],[Selling Price]]</f>
        <v>120</v>
      </c>
      <c r="L3" s="20">
        <f>Table1[[#This Row],[Revenue]]/Table1[[#This Row],[Target sales]]</f>
        <v>500</v>
      </c>
    </row>
    <row r="4" spans="1:15" ht="15" thickBot="1" x14ac:dyDescent="0.35">
      <c r="A4" s="7">
        <v>46091</v>
      </c>
      <c r="B4" s="5" t="s">
        <v>25</v>
      </c>
      <c r="C4" s="5" t="s">
        <v>18</v>
      </c>
      <c r="D4" s="5" t="s">
        <v>19</v>
      </c>
      <c r="E4" s="5" t="s">
        <v>20</v>
      </c>
      <c r="F4" s="5">
        <v>30</v>
      </c>
      <c r="G4" s="5">
        <v>2500</v>
      </c>
      <c r="H4" s="5">
        <f>Table1[[#This Row],[Units Sold]]*Table1[[#This Row],[Selling Price]]</f>
        <v>75000</v>
      </c>
      <c r="I4" s="5">
        <v>50000</v>
      </c>
      <c r="J4" s="5">
        <f>Table1[[#This Row],[Revenue]]-Table1[[#This Row],[Cost]]</f>
        <v>25000</v>
      </c>
      <c r="K4" s="18">
        <f>Table1[[#This Row],[Revenue]]/Table1[[#This Row],[Selling Price]]</f>
        <v>30</v>
      </c>
      <c r="L4" s="8">
        <f>Table1[[#This Row],[Revenue]]/Table1[[#This Row],[Target sales]]</f>
        <v>2500</v>
      </c>
    </row>
    <row r="5" spans="1:15" ht="15" thickBot="1" x14ac:dyDescent="0.35">
      <c r="A5" s="7">
        <v>46127</v>
      </c>
      <c r="B5" s="5" t="s">
        <v>26</v>
      </c>
      <c r="C5" s="5" t="s">
        <v>21</v>
      </c>
      <c r="D5" s="5" t="s">
        <v>22</v>
      </c>
      <c r="E5" s="5" t="s">
        <v>14</v>
      </c>
      <c r="F5" s="5">
        <v>20</v>
      </c>
      <c r="G5" s="5">
        <v>4500</v>
      </c>
      <c r="H5" s="5">
        <f>Table1[[#This Row],[Units Sold]]*Table1[[#This Row],[Selling Price]]</f>
        <v>90000</v>
      </c>
      <c r="I5" s="5">
        <v>70000</v>
      </c>
      <c r="J5" s="5">
        <f>Table1[[#This Row],[Revenue]]-Table1[[#This Row],[Cost]]</f>
        <v>20000</v>
      </c>
      <c r="K5" s="18">
        <f>Table1[[#This Row],[Revenue]]/Table1[[#This Row],[Selling Price]]</f>
        <v>20</v>
      </c>
      <c r="L5" s="8">
        <f>Table1[[#This Row],[Revenue]]/Table1[[#This Row],[Target sales]]</f>
        <v>4500</v>
      </c>
    </row>
    <row r="6" spans="1:15" ht="15" thickBot="1" x14ac:dyDescent="0.35">
      <c r="A6" s="7">
        <v>46162</v>
      </c>
      <c r="B6" s="5" t="s">
        <v>27</v>
      </c>
      <c r="C6" s="5" t="s">
        <v>12</v>
      </c>
      <c r="D6" s="5" t="s">
        <v>58</v>
      </c>
      <c r="E6" s="5" t="s">
        <v>20</v>
      </c>
      <c r="F6" s="5">
        <v>15</v>
      </c>
      <c r="G6" s="5">
        <v>3000</v>
      </c>
      <c r="H6" s="5">
        <f>Table1[[#This Row],[Units Sold]]*Table1[[#This Row],[Selling Price]]</f>
        <v>45000</v>
      </c>
      <c r="I6" s="5">
        <v>30000</v>
      </c>
      <c r="J6" s="5">
        <f>Table1[[#This Row],[Revenue]]-Table1[[#This Row],[Cost]]</f>
        <v>15000</v>
      </c>
      <c r="K6" s="18">
        <f>Table1[[#This Row],[Revenue]]/Table1[[#This Row],[Selling Price]]</f>
        <v>15</v>
      </c>
      <c r="L6" s="8">
        <f>Table1[[#This Row],[Revenue]]/Table1[[#This Row],[Target sales]]</f>
        <v>3000</v>
      </c>
    </row>
    <row r="7" spans="1:15" ht="15" thickBot="1" x14ac:dyDescent="0.35">
      <c r="A7" s="7">
        <v>46195</v>
      </c>
      <c r="B7" s="5" t="s">
        <v>28</v>
      </c>
      <c r="C7" s="5" t="s">
        <v>15</v>
      </c>
      <c r="D7" s="5" t="s">
        <v>59</v>
      </c>
      <c r="E7" s="5" t="s">
        <v>14</v>
      </c>
      <c r="F7" s="5">
        <v>10</v>
      </c>
      <c r="G7" s="5">
        <v>8000</v>
      </c>
      <c r="H7" s="5">
        <f>Table1[[#This Row],[Units Sold]]*Table1[[#This Row],[Selling Price]]</f>
        <v>80000</v>
      </c>
      <c r="I7" s="5">
        <v>60000</v>
      </c>
      <c r="J7" s="5">
        <f>Table1[[#This Row],[Revenue]]-Table1[[#This Row],[Cost]]</f>
        <v>20000</v>
      </c>
      <c r="K7" s="18">
        <f>Table1[[#This Row],[Revenue]]/Table1[[#This Row],[Selling Price]]</f>
        <v>10</v>
      </c>
      <c r="L7" s="8">
        <f>Table1[[#This Row],[Revenue]]/Table1[[#This Row],[Target sales]]</f>
        <v>8000</v>
      </c>
    </row>
    <row r="8" spans="1:15" ht="15" thickBot="1" x14ac:dyDescent="0.35">
      <c r="A8" s="7">
        <v>46228</v>
      </c>
      <c r="B8" s="5" t="s">
        <v>29</v>
      </c>
      <c r="C8" s="5" t="s">
        <v>18</v>
      </c>
      <c r="D8" s="5" t="s">
        <v>60</v>
      </c>
      <c r="E8" s="5" t="s">
        <v>17</v>
      </c>
      <c r="F8" s="5">
        <v>200</v>
      </c>
      <c r="G8" s="5">
        <v>300</v>
      </c>
      <c r="H8" s="5">
        <f>Table1[[#This Row],[Units Sold]]*Table1[[#This Row],[Selling Price]]</f>
        <v>60000</v>
      </c>
      <c r="I8" s="5">
        <v>25000</v>
      </c>
      <c r="J8" s="5">
        <f>Table1[[#This Row],[Revenue]]-Table1[[#This Row],[Cost]]</f>
        <v>35000</v>
      </c>
      <c r="K8" s="18">
        <f>Table1[[#This Row],[Revenue]]/Table1[[#This Row],[Selling Price]]</f>
        <v>200</v>
      </c>
      <c r="L8" s="8">
        <f>Table1[[#This Row],[Revenue]]/Table1[[#This Row],[Target sales]]</f>
        <v>300</v>
      </c>
    </row>
    <row r="9" spans="1:15" ht="15" thickBot="1" x14ac:dyDescent="0.35">
      <c r="A9" s="7">
        <v>46262</v>
      </c>
      <c r="B9" s="5" t="s">
        <v>36</v>
      </c>
      <c r="C9" s="5" t="s">
        <v>21</v>
      </c>
      <c r="D9" s="5" t="s">
        <v>61</v>
      </c>
      <c r="E9" s="5" t="s">
        <v>20</v>
      </c>
      <c r="F9" s="5">
        <v>40</v>
      </c>
      <c r="G9" s="5">
        <v>1500</v>
      </c>
      <c r="H9" s="5">
        <f>Table1[[#This Row],[Units Sold]]*Table1[[#This Row],[Selling Price]]</f>
        <v>60000</v>
      </c>
      <c r="I9" s="5">
        <v>40000</v>
      </c>
      <c r="J9" s="5">
        <f>Table1[[#This Row],[Revenue]]-Table1[[#This Row],[Cost]]</f>
        <v>20000</v>
      </c>
      <c r="K9" s="18">
        <f>Table1[[#This Row],[Revenue]]/Table1[[#This Row],[Selling Price]]</f>
        <v>40</v>
      </c>
      <c r="L9" s="8">
        <f>Table1[[#This Row],[Revenue]]/Table1[[#This Row],[Target sales]]</f>
        <v>1500</v>
      </c>
    </row>
    <row r="10" spans="1:15" ht="15" thickBot="1" x14ac:dyDescent="0.35">
      <c r="A10" s="7">
        <v>46267</v>
      </c>
      <c r="B10" s="5" t="s">
        <v>31</v>
      </c>
      <c r="C10" s="5" t="s">
        <v>12</v>
      </c>
      <c r="D10" s="5" t="s">
        <v>62</v>
      </c>
      <c r="E10" s="5" t="s">
        <v>14</v>
      </c>
      <c r="F10" s="5">
        <v>55</v>
      </c>
      <c r="G10" s="5">
        <v>1200</v>
      </c>
      <c r="H10" s="5">
        <f>Table1[[#This Row],[Units Sold]]*Table1[[#This Row],[Selling Price]]</f>
        <v>66000</v>
      </c>
      <c r="I10" s="5">
        <v>49500</v>
      </c>
      <c r="J10" s="5">
        <f>Table1[[#This Row],[Revenue]]-Table1[[#This Row],[Cost]]</f>
        <v>16500</v>
      </c>
      <c r="K10" s="18">
        <f>Table1[[#This Row],[Revenue]]/Table1[[#This Row],[Selling Price]]</f>
        <v>55</v>
      </c>
      <c r="L10" s="8">
        <f>Table1[[#This Row],[Revenue]]/Table1[[#This Row],[Target sales]]</f>
        <v>1200</v>
      </c>
    </row>
    <row r="11" spans="1:15" ht="15" thickBot="1" x14ac:dyDescent="0.35">
      <c r="A11" s="7">
        <v>46300</v>
      </c>
      <c r="B11" s="5" t="s">
        <v>32</v>
      </c>
      <c r="C11" s="5" t="s">
        <v>15</v>
      </c>
      <c r="D11" s="5" t="s">
        <v>63</v>
      </c>
      <c r="E11" s="5" t="s">
        <v>17</v>
      </c>
      <c r="F11" s="5">
        <v>130</v>
      </c>
      <c r="G11" s="5">
        <v>500</v>
      </c>
      <c r="H11" s="5">
        <f>Table1[[#This Row],[Units Sold]]*Table1[[#This Row],[Selling Price]]</f>
        <v>65000</v>
      </c>
      <c r="I11" s="5">
        <v>22000</v>
      </c>
      <c r="J11" s="5">
        <f>Table1[[#This Row],[Revenue]]-Table1[[#This Row],[Cost]]</f>
        <v>43000</v>
      </c>
      <c r="K11" s="18">
        <f>Table1[[#This Row],[Revenue]]/Table1[[#This Row],[Selling Price]]</f>
        <v>130</v>
      </c>
      <c r="L11" s="8">
        <f>Table1[[#This Row],[Revenue]]/Table1[[#This Row],[Target sales]]</f>
        <v>500</v>
      </c>
    </row>
    <row r="12" spans="1:15" ht="15" thickBot="1" x14ac:dyDescent="0.35">
      <c r="A12" s="7">
        <v>46023</v>
      </c>
      <c r="B12" s="5" t="s">
        <v>33</v>
      </c>
      <c r="C12" s="5" t="s">
        <v>12</v>
      </c>
      <c r="D12" s="5" t="s">
        <v>64</v>
      </c>
      <c r="E12" s="5" t="s">
        <v>14</v>
      </c>
      <c r="F12" s="15">
        <v>95.3333333333333</v>
      </c>
      <c r="G12" s="15">
        <v>1853.3333333333301</v>
      </c>
      <c r="H12" s="15">
        <f>Table1[[#This Row],[Units Sold]]*Table1[[#This Row],[Selling Price]]</f>
        <v>176684.44444444406</v>
      </c>
      <c r="I12" s="15">
        <v>35966.666666666701</v>
      </c>
      <c r="J12" s="15">
        <f>Table1[[#This Row],[Revenue]]-Table1[[#This Row],[Cost]]</f>
        <v>140717.77777777734</v>
      </c>
      <c r="K12" s="19">
        <f>Table1[[#This Row],[Revenue]]/Table1[[#This Row],[Selling Price]]</f>
        <v>95.3333333333333</v>
      </c>
      <c r="L12" s="8">
        <f>Table1[[#This Row],[Revenue]]/Table1[[#This Row],[Target sales]]</f>
        <v>1853.3333333333298</v>
      </c>
    </row>
    <row r="13" spans="1:15" ht="15" thickBot="1" x14ac:dyDescent="0.35">
      <c r="A13" s="7">
        <v>46058</v>
      </c>
      <c r="B13" s="5" t="s">
        <v>34</v>
      </c>
      <c r="C13" s="5" t="s">
        <v>15</v>
      </c>
      <c r="D13" s="5" t="s">
        <v>65</v>
      </c>
      <c r="E13" s="5" t="s">
        <v>17</v>
      </c>
      <c r="F13" s="15">
        <v>100.484848484849</v>
      </c>
      <c r="G13" s="15">
        <v>1768.4848484848501</v>
      </c>
      <c r="H13" s="15">
        <f>Table1[[#This Row],[Units Sold]]*Table1[[#This Row],[Selling Price]]</f>
        <v>177705.9320477513</v>
      </c>
      <c r="I13" s="15">
        <v>35024.242424242402</v>
      </c>
      <c r="J13" s="15">
        <f>Table1[[#This Row],[Revenue]]-Table1[[#This Row],[Cost]]</f>
        <v>142681.68962350889</v>
      </c>
      <c r="K13" s="19">
        <f>Table1[[#This Row],[Revenue]]/Table1[[#This Row],[Selling Price]]</f>
        <v>100.484848484849</v>
      </c>
      <c r="L13" s="8">
        <f>Table1[[#This Row],[Revenue]]/Table1[[#This Row],[Target sales]]</f>
        <v>1768.4848484848501</v>
      </c>
    </row>
    <row r="14" spans="1:15" ht="15" thickBot="1" x14ac:dyDescent="0.35">
      <c r="A14" s="7">
        <v>46091</v>
      </c>
      <c r="B14" s="5" t="s">
        <v>35</v>
      </c>
      <c r="C14" s="5" t="s">
        <v>18</v>
      </c>
      <c r="D14" s="5" t="s">
        <v>66</v>
      </c>
      <c r="E14" s="5" t="s">
        <v>20</v>
      </c>
      <c r="F14" s="15">
        <v>105.636363636364</v>
      </c>
      <c r="G14" s="15">
        <v>1683.6363636363601</v>
      </c>
      <c r="H14" s="15">
        <f>Table1[[#This Row],[Units Sold]]*Table1[[#This Row],[Selling Price]]</f>
        <v>177853.22314049609</v>
      </c>
      <c r="I14" s="15">
        <v>34081.818181818198</v>
      </c>
      <c r="J14" s="15">
        <f>Table1[[#This Row],[Revenue]]-Table1[[#This Row],[Cost]]</f>
        <v>143771.40495867789</v>
      </c>
      <c r="K14" s="19">
        <f>Table1[[#This Row],[Revenue]]/Table1[[#This Row],[Selling Price]]</f>
        <v>105.636363636364</v>
      </c>
      <c r="L14" s="8">
        <f>Table1[[#This Row],[Revenue]]/Table1[[#This Row],[Target sales]]</f>
        <v>1683.6363636363601</v>
      </c>
    </row>
    <row r="15" spans="1:15" ht="15" thickBot="1" x14ac:dyDescent="0.35">
      <c r="A15" s="7">
        <v>46127</v>
      </c>
      <c r="B15" s="5" t="s">
        <v>36</v>
      </c>
      <c r="C15" s="5" t="s">
        <v>21</v>
      </c>
      <c r="D15" s="5" t="s">
        <v>67</v>
      </c>
      <c r="E15" s="5" t="s">
        <v>14</v>
      </c>
      <c r="F15" s="15">
        <v>110.787878787879</v>
      </c>
      <c r="G15" s="15">
        <v>1598.7878787878799</v>
      </c>
      <c r="H15" s="15">
        <f>Table1[[#This Row],[Units Sold]]*Table1[[#This Row],[Selling Price]]</f>
        <v>177126.31772268182</v>
      </c>
      <c r="I15" s="15">
        <v>33139.3939393939</v>
      </c>
      <c r="J15" s="15">
        <f>Table1[[#This Row],[Revenue]]-Table1[[#This Row],[Cost]]</f>
        <v>143986.92378328793</v>
      </c>
      <c r="K15" s="19">
        <f>Table1[[#This Row],[Revenue]]/Table1[[#This Row],[Selling Price]]</f>
        <v>110.787878787879</v>
      </c>
      <c r="L15" s="8">
        <f>Table1[[#This Row],[Revenue]]/Table1[[#This Row],[Target sales]]</f>
        <v>1598.7878787878799</v>
      </c>
    </row>
    <row r="16" spans="1:15" ht="15" thickBot="1" x14ac:dyDescent="0.35">
      <c r="A16" s="7">
        <v>46162</v>
      </c>
      <c r="B16" s="5" t="s">
        <v>37</v>
      </c>
      <c r="C16" s="5" t="s">
        <v>12</v>
      </c>
      <c r="D16" s="5" t="s">
        <v>13</v>
      </c>
      <c r="E16" s="5" t="s">
        <v>20</v>
      </c>
      <c r="F16" s="15">
        <v>115.93939393939399</v>
      </c>
      <c r="G16" s="15">
        <v>1513.9393939393899</v>
      </c>
      <c r="H16" s="15">
        <f>Table1[[#This Row],[Units Sold]]*Table1[[#This Row],[Selling Price]]</f>
        <v>175525.21579430631</v>
      </c>
      <c r="I16" s="15">
        <v>32196.9696969697</v>
      </c>
      <c r="J16" s="15">
        <f>Table1[[#This Row],[Revenue]]-Table1[[#This Row],[Cost]]</f>
        <v>143328.24609733661</v>
      </c>
      <c r="K16" s="19">
        <f>Table1[[#This Row],[Revenue]]/Table1[[#This Row],[Selling Price]]</f>
        <v>115.93939393939398</v>
      </c>
      <c r="L16" s="8">
        <f>Table1[[#This Row],[Revenue]]/Table1[[#This Row],[Target sales]]</f>
        <v>1513.9393939393899</v>
      </c>
    </row>
    <row r="17" spans="1:12" ht="15" thickBot="1" x14ac:dyDescent="0.35">
      <c r="A17" s="7">
        <v>46195</v>
      </c>
      <c r="B17" s="5" t="s">
        <v>38</v>
      </c>
      <c r="C17" s="5" t="s">
        <v>15</v>
      </c>
      <c r="D17" s="5" t="s">
        <v>16</v>
      </c>
      <c r="E17" s="5" t="s">
        <v>14</v>
      </c>
      <c r="F17" s="15">
        <v>121.09090909090899</v>
      </c>
      <c r="G17" s="15">
        <v>1429.0909090909099</v>
      </c>
      <c r="H17" s="15">
        <f>Table1[[#This Row],[Units Sold]]*Table1[[#This Row],[Selling Price]]</f>
        <v>173049.91735537187</v>
      </c>
      <c r="I17" s="15">
        <v>31254.5454545455</v>
      </c>
      <c r="J17" s="15">
        <f>Table1[[#This Row],[Revenue]]-Table1[[#This Row],[Cost]]</f>
        <v>141795.37190082637</v>
      </c>
      <c r="K17" s="19">
        <f>Table1[[#This Row],[Revenue]]/Table1[[#This Row],[Selling Price]]</f>
        <v>121.09090909090899</v>
      </c>
      <c r="L17" s="8">
        <f>Table1[[#This Row],[Revenue]]/Table1[[#This Row],[Target sales]]</f>
        <v>1429.0909090909099</v>
      </c>
    </row>
    <row r="18" spans="1:12" ht="15" thickBot="1" x14ac:dyDescent="0.35">
      <c r="A18" s="7">
        <v>46228</v>
      </c>
      <c r="B18" s="5" t="s">
        <v>39</v>
      </c>
      <c r="C18" s="5" t="s">
        <v>18</v>
      </c>
      <c r="D18" s="5" t="s">
        <v>19</v>
      </c>
      <c r="E18" s="5" t="s">
        <v>17</v>
      </c>
      <c r="F18" s="15">
        <v>126.24242424242399</v>
      </c>
      <c r="G18" s="15">
        <v>1344.2424242424199</v>
      </c>
      <c r="H18" s="15">
        <f>Table1[[#This Row],[Units Sold]]*Table1[[#This Row],[Selling Price]]</f>
        <v>169700.42240587607</v>
      </c>
      <c r="I18" s="15">
        <v>30312.121212121201</v>
      </c>
      <c r="J18" s="15">
        <f>Table1[[#This Row],[Revenue]]-Table1[[#This Row],[Cost]]</f>
        <v>139388.30119375489</v>
      </c>
      <c r="K18" s="19">
        <f>Table1[[#This Row],[Revenue]]/Table1[[#This Row],[Selling Price]]</f>
        <v>126.24242424242399</v>
      </c>
      <c r="L18" s="8">
        <f>Table1[[#This Row],[Revenue]]/Table1[[#This Row],[Target sales]]</f>
        <v>1344.2424242424199</v>
      </c>
    </row>
    <row r="19" spans="1:12" ht="15" thickBot="1" x14ac:dyDescent="0.35">
      <c r="A19" s="7">
        <v>46262</v>
      </c>
      <c r="B19" s="5" t="s">
        <v>40</v>
      </c>
      <c r="C19" s="5" t="s">
        <v>21</v>
      </c>
      <c r="D19" s="5" t="s">
        <v>22</v>
      </c>
      <c r="E19" s="5" t="s">
        <v>20</v>
      </c>
      <c r="F19" s="15">
        <v>131.39393939393901</v>
      </c>
      <c r="G19" s="15">
        <v>1259.3939393939399</v>
      </c>
      <c r="H19" s="15">
        <f>Table1[[#This Row],[Units Sold]]*Table1[[#This Row],[Selling Price]]</f>
        <v>165476.73094582144</v>
      </c>
      <c r="I19" s="15">
        <v>29369.696969697001</v>
      </c>
      <c r="J19" s="15">
        <f>Table1[[#This Row],[Revenue]]-Table1[[#This Row],[Cost]]</f>
        <v>136107.03397612445</v>
      </c>
      <c r="K19" s="19">
        <f>Table1[[#This Row],[Revenue]]/Table1[[#This Row],[Selling Price]]</f>
        <v>131.39393939393901</v>
      </c>
      <c r="L19" s="8">
        <f>Table1[[#This Row],[Revenue]]/Table1[[#This Row],[Target sales]]</f>
        <v>1259.3939393939399</v>
      </c>
    </row>
    <row r="20" spans="1:12" ht="15" thickBot="1" x14ac:dyDescent="0.35">
      <c r="A20" s="7">
        <v>46267</v>
      </c>
      <c r="B20" s="5" t="s">
        <v>41</v>
      </c>
      <c r="C20" s="5" t="s">
        <v>12</v>
      </c>
      <c r="D20" s="5" t="s">
        <v>58</v>
      </c>
      <c r="E20" s="5" t="s">
        <v>14</v>
      </c>
      <c r="F20" s="15">
        <v>136.54545454545499</v>
      </c>
      <c r="G20" s="15">
        <v>1174.54545454545</v>
      </c>
      <c r="H20" s="15">
        <f>Table1[[#This Row],[Units Sold]]*Table1[[#This Row],[Selling Price]]</f>
        <v>160378.8429752065</v>
      </c>
      <c r="I20" s="15">
        <v>28427.272727272699</v>
      </c>
      <c r="J20" s="15">
        <f>Table1[[#This Row],[Revenue]]-Table1[[#This Row],[Cost]]</f>
        <v>131951.57024793379</v>
      </c>
      <c r="K20" s="19">
        <f>Table1[[#This Row],[Revenue]]/Table1[[#This Row],[Selling Price]]</f>
        <v>136.54545454545499</v>
      </c>
      <c r="L20" s="8">
        <f>Table1[[#This Row],[Revenue]]/Table1[[#This Row],[Target sales]]</f>
        <v>1174.54545454545</v>
      </c>
    </row>
    <row r="21" spans="1:12" ht="15" thickBot="1" x14ac:dyDescent="0.35">
      <c r="A21" s="7">
        <v>46300</v>
      </c>
      <c r="B21" s="5" t="s">
        <v>42</v>
      </c>
      <c r="C21" s="5" t="s">
        <v>15</v>
      </c>
      <c r="D21" s="5" t="s">
        <v>59</v>
      </c>
      <c r="E21" s="5" t="s">
        <v>17</v>
      </c>
      <c r="F21" s="15">
        <v>141.69696969697</v>
      </c>
      <c r="G21" s="15">
        <v>1089.69696969697</v>
      </c>
      <c r="H21" s="15">
        <f>Table1[[#This Row],[Units Sold]]*Table1[[#This Row],[Selling Price]]</f>
        <v>154406.75849403159</v>
      </c>
      <c r="I21" s="15">
        <v>27484.848484848499</v>
      </c>
      <c r="J21" s="15">
        <f>Table1[[#This Row],[Revenue]]-Table1[[#This Row],[Cost]]</f>
        <v>126921.91000918309</v>
      </c>
      <c r="K21" s="19">
        <f>Table1[[#This Row],[Revenue]]/Table1[[#This Row],[Selling Price]]</f>
        <v>141.69696969697</v>
      </c>
      <c r="L21" s="8">
        <f>Table1[[#This Row],[Revenue]]/Table1[[#This Row],[Target sales]]</f>
        <v>1089.69696969697</v>
      </c>
    </row>
    <row r="22" spans="1:12" ht="15" thickBot="1" x14ac:dyDescent="0.35">
      <c r="A22" s="7">
        <v>46023</v>
      </c>
      <c r="B22" s="5" t="s">
        <v>43</v>
      </c>
      <c r="C22" s="5" t="s">
        <v>12</v>
      </c>
      <c r="D22" s="5" t="s">
        <v>60</v>
      </c>
      <c r="E22" s="5" t="s">
        <v>14</v>
      </c>
      <c r="F22" s="15">
        <v>146.84848484848499</v>
      </c>
      <c r="G22" s="15">
        <v>1004.84848484848</v>
      </c>
      <c r="H22" s="15">
        <f>Table1[[#This Row],[Units Sold]]*Table1[[#This Row],[Selling Price]]</f>
        <v>147560.47750229511</v>
      </c>
      <c r="I22" s="15">
        <v>26542.424242424298</v>
      </c>
      <c r="J22" s="15">
        <f>Table1[[#This Row],[Revenue]]-Table1[[#This Row],[Cost]]</f>
        <v>121018.05325987081</v>
      </c>
      <c r="K22" s="19">
        <f>Table1[[#This Row],[Revenue]]/Table1[[#This Row],[Selling Price]]</f>
        <v>146.84848484848499</v>
      </c>
      <c r="L22" s="8">
        <f>Table1[[#This Row],[Revenue]]/Table1[[#This Row],[Target sales]]</f>
        <v>1004.84848484848</v>
      </c>
    </row>
    <row r="23" spans="1:12" ht="15" thickBot="1" x14ac:dyDescent="0.35">
      <c r="A23" s="7">
        <v>46058</v>
      </c>
      <c r="B23" s="5" t="s">
        <v>44</v>
      </c>
      <c r="C23" s="5" t="s">
        <v>15</v>
      </c>
      <c r="D23" s="5" t="s">
        <v>61</v>
      </c>
      <c r="E23" s="5" t="s">
        <v>17</v>
      </c>
      <c r="F23" s="15">
        <v>152</v>
      </c>
      <c r="G23" s="15">
        <v>920.00000000000205</v>
      </c>
      <c r="H23" s="15">
        <f>Table1[[#This Row],[Units Sold]]*Table1[[#This Row],[Selling Price]]</f>
        <v>139840.00000000032</v>
      </c>
      <c r="I23" s="15">
        <v>25600</v>
      </c>
      <c r="J23" s="15">
        <f>Table1[[#This Row],[Revenue]]-Table1[[#This Row],[Cost]]</f>
        <v>114240.00000000032</v>
      </c>
      <c r="K23" s="19">
        <f>Table1[[#This Row],[Revenue]]/Table1[[#This Row],[Selling Price]]</f>
        <v>152</v>
      </c>
      <c r="L23" s="8">
        <f>Table1[[#This Row],[Revenue]]/Table1[[#This Row],[Target sales]]</f>
        <v>920.00000000000216</v>
      </c>
    </row>
    <row r="24" spans="1:12" ht="15" thickBot="1" x14ac:dyDescent="0.35">
      <c r="A24" s="7">
        <v>46091</v>
      </c>
      <c r="B24" s="5" t="s">
        <v>45</v>
      </c>
      <c r="C24" s="5" t="s">
        <v>18</v>
      </c>
      <c r="D24" s="5" t="s">
        <v>62</v>
      </c>
      <c r="E24" s="5" t="s">
        <v>20</v>
      </c>
      <c r="F24" s="15">
        <v>157.15151515151501</v>
      </c>
      <c r="G24" s="15">
        <v>835.15151515151194</v>
      </c>
      <c r="H24" s="15">
        <f>Table1[[#This Row],[Units Sold]]*Table1[[#This Row],[Selling Price]]</f>
        <v>131245.32598714356</v>
      </c>
      <c r="I24" s="15">
        <v>24657.5757575758</v>
      </c>
      <c r="J24" s="15">
        <f>Table1[[#This Row],[Revenue]]-Table1[[#This Row],[Cost]]</f>
        <v>106587.75022956776</v>
      </c>
      <c r="K24" s="19">
        <f>Table1[[#This Row],[Revenue]]/Table1[[#This Row],[Selling Price]]</f>
        <v>157.15151515151501</v>
      </c>
      <c r="L24" s="8">
        <f>Table1[[#This Row],[Revenue]]/Table1[[#This Row],[Target sales]]</f>
        <v>835.15151515151194</v>
      </c>
    </row>
    <row r="25" spans="1:12" ht="15" thickBot="1" x14ac:dyDescent="0.35">
      <c r="A25" s="7">
        <v>46127</v>
      </c>
      <c r="B25" s="5" t="s">
        <v>46</v>
      </c>
      <c r="C25" s="5" t="s">
        <v>21</v>
      </c>
      <c r="D25" s="5" t="s">
        <v>63</v>
      </c>
      <c r="E25" s="5" t="s">
        <v>14</v>
      </c>
      <c r="F25" s="15">
        <v>162.30303030303</v>
      </c>
      <c r="G25" s="15">
        <v>750.30303030303196</v>
      </c>
      <c r="H25" s="15">
        <f>Table1[[#This Row],[Units Sold]]*Table1[[#This Row],[Selling Price]]</f>
        <v>121776.45546372823</v>
      </c>
      <c r="I25" s="15">
        <v>23715.151515151501</v>
      </c>
      <c r="J25" s="15">
        <f>Table1[[#This Row],[Revenue]]-Table1[[#This Row],[Cost]]</f>
        <v>98061.303948576722</v>
      </c>
      <c r="K25" s="19">
        <f>Table1[[#This Row],[Revenue]]/Table1[[#This Row],[Selling Price]]</f>
        <v>162.30303030303</v>
      </c>
      <c r="L25" s="8">
        <f>Table1[[#This Row],[Revenue]]/Table1[[#This Row],[Target sales]]</f>
        <v>750.30303030303196</v>
      </c>
    </row>
    <row r="26" spans="1:12" ht="15" thickBot="1" x14ac:dyDescent="0.35">
      <c r="A26" s="7">
        <v>46162</v>
      </c>
      <c r="B26" s="5" t="s">
        <v>47</v>
      </c>
      <c r="C26" s="5" t="s">
        <v>12</v>
      </c>
      <c r="D26" s="5" t="s">
        <v>64</v>
      </c>
      <c r="E26" s="5" t="s">
        <v>20</v>
      </c>
      <c r="F26" s="15">
        <v>167.45454545454601</v>
      </c>
      <c r="G26" s="15">
        <v>665.45454545455198</v>
      </c>
      <c r="H26" s="15">
        <f>Table1[[#This Row],[Units Sold]]*Table1[[#This Row],[Selling Price]]</f>
        <v>111433.38842975353</v>
      </c>
      <c r="I26" s="15">
        <v>22772.727272727301</v>
      </c>
      <c r="J26" s="15">
        <f>Table1[[#This Row],[Revenue]]-Table1[[#This Row],[Cost]]</f>
        <v>88660.661157026218</v>
      </c>
      <c r="K26" s="19">
        <f>Table1[[#This Row],[Revenue]]/Table1[[#This Row],[Selling Price]]</f>
        <v>167.45454545454601</v>
      </c>
      <c r="L26" s="8">
        <f>Table1[[#This Row],[Revenue]]/Table1[[#This Row],[Target sales]]</f>
        <v>665.45454545455198</v>
      </c>
    </row>
    <row r="27" spans="1:12" ht="15" thickBot="1" x14ac:dyDescent="0.35">
      <c r="A27" s="7">
        <v>46195</v>
      </c>
      <c r="B27" s="5" t="s">
        <v>48</v>
      </c>
      <c r="C27" s="5" t="s">
        <v>15</v>
      </c>
      <c r="D27" s="5" t="s">
        <v>65</v>
      </c>
      <c r="E27" s="5" t="s">
        <v>14</v>
      </c>
      <c r="F27" s="15">
        <v>172.60606060606099</v>
      </c>
      <c r="G27" s="15">
        <v>580.60606060606096</v>
      </c>
      <c r="H27" s="15">
        <f>Table1[[#This Row],[Units Sold]]*Table1[[#This Row],[Selling Price]]</f>
        <v>100216.12488521608</v>
      </c>
      <c r="I27" s="15">
        <v>21830.303030302999</v>
      </c>
      <c r="J27" s="15">
        <f>Table1[[#This Row],[Revenue]]-Table1[[#This Row],[Cost]]</f>
        <v>78385.821854913083</v>
      </c>
      <c r="K27" s="19">
        <f>Table1[[#This Row],[Revenue]]/Table1[[#This Row],[Selling Price]]</f>
        <v>172.60606060606099</v>
      </c>
      <c r="L27" s="8">
        <f>Table1[[#This Row],[Revenue]]/Table1[[#This Row],[Target sales]]</f>
        <v>580.60606060606096</v>
      </c>
    </row>
    <row r="28" spans="1:12" ht="15" thickBot="1" x14ac:dyDescent="0.35">
      <c r="A28" s="7">
        <v>46228</v>
      </c>
      <c r="B28" s="5" t="s">
        <v>49</v>
      </c>
      <c r="C28" s="5" t="s">
        <v>18</v>
      </c>
      <c r="D28" s="5" t="s">
        <v>66</v>
      </c>
      <c r="E28" s="5" t="s">
        <v>17</v>
      </c>
      <c r="F28" s="15">
        <v>177.75757575757601</v>
      </c>
      <c r="G28" s="15">
        <v>495.75757575758098</v>
      </c>
      <c r="H28" s="15">
        <f>Table1[[#This Row],[Units Sold]]*Table1[[#This Row],[Selling Price]]</f>
        <v>88124.664830120426</v>
      </c>
      <c r="I28" s="15">
        <v>20887.878787878799</v>
      </c>
      <c r="J28" s="15">
        <f>Table1[[#This Row],[Revenue]]-Table1[[#This Row],[Cost]]</f>
        <v>67236.786042241627</v>
      </c>
      <c r="K28" s="19">
        <f>Table1[[#This Row],[Revenue]]/Table1[[#This Row],[Selling Price]]</f>
        <v>177.75757575757601</v>
      </c>
      <c r="L28" s="8">
        <f>Table1[[#This Row],[Revenue]]/Table1[[#This Row],[Target sales]]</f>
        <v>495.75757575758098</v>
      </c>
    </row>
    <row r="29" spans="1:12" ht="15" thickBot="1" x14ac:dyDescent="0.35">
      <c r="A29" s="7">
        <v>46262</v>
      </c>
      <c r="B29" s="5" t="s">
        <v>24</v>
      </c>
      <c r="C29" s="5" t="s">
        <v>21</v>
      </c>
      <c r="D29" s="5" t="s">
        <v>67</v>
      </c>
      <c r="E29" s="5" t="s">
        <v>20</v>
      </c>
      <c r="F29" s="15">
        <v>182.90909090909099</v>
      </c>
      <c r="G29" s="15">
        <v>410.90909090909099</v>
      </c>
      <c r="H29" s="15">
        <f>Table1[[#This Row],[Units Sold]]*Table1[[#This Row],[Selling Price]]</f>
        <v>75159.008264462856</v>
      </c>
      <c r="I29" s="15">
        <v>19945.454545454599</v>
      </c>
      <c r="J29" s="15">
        <f>Table1[[#This Row],[Revenue]]-Table1[[#This Row],[Cost]]</f>
        <v>55213.553719008254</v>
      </c>
      <c r="K29" s="19">
        <f>Table1[[#This Row],[Revenue]]/Table1[[#This Row],[Selling Price]]</f>
        <v>182.90909090909099</v>
      </c>
      <c r="L29" s="8">
        <f>Table1[[#This Row],[Revenue]]/Table1[[#This Row],[Target sales]]</f>
        <v>410.90909090909099</v>
      </c>
    </row>
    <row r="30" spans="1:12" ht="15" thickBot="1" x14ac:dyDescent="0.35">
      <c r="A30" s="7">
        <v>46267</v>
      </c>
      <c r="B30" s="5" t="s">
        <v>25</v>
      </c>
      <c r="C30" s="5" t="s">
        <v>12</v>
      </c>
      <c r="D30" s="5" t="s">
        <v>13</v>
      </c>
      <c r="E30" s="5" t="s">
        <v>14</v>
      </c>
      <c r="F30" s="15">
        <v>188.06060606060601</v>
      </c>
      <c r="G30" s="15">
        <v>326.06060606061101</v>
      </c>
      <c r="H30" s="15">
        <f>Table1[[#This Row],[Units Sold]]*Table1[[#This Row],[Selling Price]]</f>
        <v>61319.155188247008</v>
      </c>
      <c r="I30" s="15">
        <v>19003.0303030303</v>
      </c>
      <c r="J30" s="15">
        <f>Table1[[#This Row],[Revenue]]-Table1[[#This Row],[Cost]]</f>
        <v>42316.124885216705</v>
      </c>
      <c r="K30" s="19">
        <f>Table1[[#This Row],[Revenue]]/Table1[[#This Row],[Selling Price]]</f>
        <v>188.06060606060601</v>
      </c>
      <c r="L30" s="8">
        <f>Table1[[#This Row],[Revenue]]/Table1[[#This Row],[Target sales]]</f>
        <v>326.06060606061101</v>
      </c>
    </row>
    <row r="31" spans="1:12" ht="15" thickBot="1" x14ac:dyDescent="0.35">
      <c r="A31" s="7">
        <v>46300</v>
      </c>
      <c r="B31" s="5" t="s">
        <v>50</v>
      </c>
      <c r="C31" s="5" t="s">
        <v>15</v>
      </c>
      <c r="D31" s="5" t="s">
        <v>16</v>
      </c>
      <c r="E31" s="5" t="s">
        <v>17</v>
      </c>
      <c r="F31" s="15">
        <v>193.21212121212099</v>
      </c>
      <c r="G31" s="15">
        <v>241.21212121212099</v>
      </c>
      <c r="H31" s="15">
        <f>Table1[[#This Row],[Units Sold]]*Table1[[#This Row],[Selling Price]]</f>
        <v>46605.105601469142</v>
      </c>
      <c r="I31" s="15">
        <v>18060.6060606061</v>
      </c>
      <c r="J31" s="15">
        <f>Table1[[#This Row],[Revenue]]-Table1[[#This Row],[Cost]]</f>
        <v>28544.499540863042</v>
      </c>
      <c r="K31" s="19">
        <f>Table1[[#This Row],[Revenue]]/Table1[[#This Row],[Selling Price]]</f>
        <v>193.21212121212099</v>
      </c>
      <c r="L31" s="8">
        <f>Table1[[#This Row],[Revenue]]/Table1[[#This Row],[Target sales]]</f>
        <v>241.21212121212099</v>
      </c>
    </row>
    <row r="32" spans="1:12" ht="15" thickBot="1" x14ac:dyDescent="0.35">
      <c r="A32" s="7">
        <v>46023</v>
      </c>
      <c r="B32" s="5" t="s">
        <v>51</v>
      </c>
      <c r="C32" s="5" t="s">
        <v>12</v>
      </c>
      <c r="D32" s="5" t="s">
        <v>19</v>
      </c>
      <c r="E32" s="5" t="s">
        <v>14</v>
      </c>
      <c r="F32" s="15">
        <v>198.363636363637</v>
      </c>
      <c r="G32" s="15">
        <v>156.36363636364101</v>
      </c>
      <c r="H32" s="15">
        <f>Table1[[#This Row],[Units Sold]]*Table1[[#This Row],[Selling Price]]</f>
        <v>31016.859504133252</v>
      </c>
      <c r="I32" s="15">
        <v>17118.181818181802</v>
      </c>
      <c r="J32" s="15">
        <f>Table1[[#This Row],[Revenue]]-Table1[[#This Row],[Cost]]</f>
        <v>13898.67768595145</v>
      </c>
      <c r="K32" s="19">
        <f>Table1[[#This Row],[Revenue]]/Table1[[#This Row],[Selling Price]]</f>
        <v>198.363636363637</v>
      </c>
      <c r="L32" s="8">
        <f>Table1[[#This Row],[Revenue]]/Table1[[#This Row],[Target sales]]</f>
        <v>156.36363636364101</v>
      </c>
    </row>
    <row r="33" spans="1:12" ht="15" thickBot="1" x14ac:dyDescent="0.35">
      <c r="A33" s="7">
        <v>46058</v>
      </c>
      <c r="B33" s="5" t="s">
        <v>52</v>
      </c>
      <c r="C33" s="5" t="s">
        <v>15</v>
      </c>
      <c r="D33" s="5" t="s">
        <v>22</v>
      </c>
      <c r="E33" s="5" t="s">
        <v>17</v>
      </c>
      <c r="F33" s="15">
        <v>203.51515151515201</v>
      </c>
      <c r="G33" s="15">
        <v>71.515151515151501</v>
      </c>
      <c r="H33" s="15">
        <f>Table1[[#This Row],[Units Sold]]*Table1[[#This Row],[Selling Price]]</f>
        <v>14554.41689623511</v>
      </c>
      <c r="I33" s="15">
        <v>16175.7575757576</v>
      </c>
      <c r="J33" s="15">
        <f>Table1[[#This Row],[Revenue]]-Table1[[#This Row],[Cost]]</f>
        <v>-1621.3406795224892</v>
      </c>
      <c r="K33" s="19">
        <f>Table1[[#This Row],[Revenue]]/Table1[[#This Row],[Selling Price]]</f>
        <v>203.51515151515201</v>
      </c>
      <c r="L33" s="8">
        <f>Table1[[#This Row],[Revenue]]/Table1[[#This Row],[Target sales]]</f>
        <v>71.515151515151501</v>
      </c>
    </row>
    <row r="34" spans="1:12" ht="15" thickBot="1" x14ac:dyDescent="0.35">
      <c r="A34" s="7">
        <v>46091</v>
      </c>
      <c r="B34" s="5" t="s">
        <v>53</v>
      </c>
      <c r="C34" s="5" t="s">
        <v>18</v>
      </c>
      <c r="D34" s="5" t="s">
        <v>58</v>
      </c>
      <c r="E34" s="5" t="s">
        <v>20</v>
      </c>
      <c r="F34" s="15">
        <v>208.666666666667</v>
      </c>
      <c r="G34" s="15">
        <f>-13.3333333333285*-1</f>
        <v>13.3333333333285</v>
      </c>
      <c r="H34" s="15">
        <f>Table1[[#This Row],[Units Sold]]*Table1[[#This Row],[Selling Price]]</f>
        <v>2782.2222222212181</v>
      </c>
      <c r="I34" s="15">
        <v>15233.333333333299</v>
      </c>
      <c r="J34" s="15">
        <f>Table1[[#This Row],[Revenue]]-Table1[[#This Row],[Cost]]</f>
        <v>-12451.111111112081</v>
      </c>
      <c r="K34" s="19">
        <f>Table1[[#This Row],[Revenue]]/Table1[[#This Row],[Selling Price]]</f>
        <v>208.666666666667</v>
      </c>
      <c r="L34" s="8">
        <f>Table1[[#This Row],[Revenue]]/Table1[[#This Row],[Target sales]]</f>
        <v>13.3333333333285</v>
      </c>
    </row>
    <row r="35" spans="1:12" ht="15" thickBot="1" x14ac:dyDescent="0.35">
      <c r="A35" s="7">
        <v>46127</v>
      </c>
      <c r="B35" s="5" t="s">
        <v>26</v>
      </c>
      <c r="C35" s="5" t="s">
        <v>21</v>
      </c>
      <c r="D35" s="5" t="s">
        <v>59</v>
      </c>
      <c r="E35" s="5" t="s">
        <v>14</v>
      </c>
      <c r="F35" s="15">
        <v>213.81818181818201</v>
      </c>
      <c r="G35" s="15">
        <v>-98.1818181818185</v>
      </c>
      <c r="H35" s="15">
        <f>Table1[[#This Row],[Units Sold]]*Table1[[#This Row],[Selling Price]]</f>
        <v>-20993.057851239755</v>
      </c>
      <c r="I35" s="15">
        <v>14290.909090909099</v>
      </c>
      <c r="J35" s="15">
        <f>Table1[[#This Row],[Revenue]]-Table1[[#This Row],[Cost]]</f>
        <v>-35283.966942148851</v>
      </c>
      <c r="K35" s="19">
        <f>Table1[[#This Row],[Revenue]]/Table1[[#This Row],[Selling Price]]</f>
        <v>213.81818181818201</v>
      </c>
      <c r="L35" s="8">
        <f>Table1[[#This Row],[Revenue]]/Table1[[#This Row],[Target sales]]</f>
        <v>-98.1818181818185</v>
      </c>
    </row>
    <row r="36" spans="1:12" ht="15" thickBot="1" x14ac:dyDescent="0.35">
      <c r="A36" s="7">
        <v>46162</v>
      </c>
      <c r="B36" s="5" t="s">
        <v>27</v>
      </c>
      <c r="C36" s="5" t="s">
        <v>12</v>
      </c>
      <c r="D36" s="5" t="s">
        <v>60</v>
      </c>
      <c r="E36" s="5" t="s">
        <v>20</v>
      </c>
      <c r="F36" s="15">
        <v>218.969696969697</v>
      </c>
      <c r="G36" s="15">
        <v>-183.030303030298</v>
      </c>
      <c r="H36" s="15">
        <f>Table1[[#This Row],[Units Sold]]*Table1[[#This Row],[Selling Price]]</f>
        <v>-40078.089990816166</v>
      </c>
      <c r="I36" s="15">
        <v>13348.484848484901</v>
      </c>
      <c r="J36" s="15">
        <f>Table1[[#This Row],[Revenue]]-Table1[[#This Row],[Cost]]</f>
        <v>-53426.574839301065</v>
      </c>
      <c r="K36" s="19">
        <f>Table1[[#This Row],[Revenue]]/Table1[[#This Row],[Selling Price]]</f>
        <v>218.969696969697</v>
      </c>
      <c r="L36" s="8">
        <f>Table1[[#This Row],[Revenue]]/Table1[[#This Row],[Target sales]]</f>
        <v>-183.030303030298</v>
      </c>
    </row>
    <row r="37" spans="1:12" ht="15" thickBot="1" x14ac:dyDescent="0.35">
      <c r="A37" s="7">
        <v>46195</v>
      </c>
      <c r="B37" s="5" t="s">
        <v>28</v>
      </c>
      <c r="C37" s="5" t="s">
        <v>15</v>
      </c>
      <c r="D37" s="5" t="s">
        <v>61</v>
      </c>
      <c r="E37" s="5" t="s">
        <v>14</v>
      </c>
      <c r="F37" s="15">
        <v>224.12121212121201</v>
      </c>
      <c r="G37" s="15">
        <v>-267.87878787878799</v>
      </c>
      <c r="H37" s="15">
        <f>Table1[[#This Row],[Units Sold]]*Table1[[#This Row],[Selling Price]]</f>
        <v>-60037.318640954996</v>
      </c>
      <c r="I37" s="15">
        <v>12406.060606060601</v>
      </c>
      <c r="J37" s="15">
        <f>Table1[[#This Row],[Revenue]]-Table1[[#This Row],[Cost]]</f>
        <v>-72443.379247015604</v>
      </c>
      <c r="K37" s="19">
        <f>Table1[[#This Row],[Revenue]]/Table1[[#This Row],[Selling Price]]</f>
        <v>224.12121212121201</v>
      </c>
      <c r="L37" s="8">
        <f>Table1[[#This Row],[Revenue]]/Table1[[#This Row],[Target sales]]</f>
        <v>-267.87878787878799</v>
      </c>
    </row>
    <row r="38" spans="1:12" ht="15" thickBot="1" x14ac:dyDescent="0.35">
      <c r="A38" s="7">
        <v>46228</v>
      </c>
      <c r="B38" s="5" t="s">
        <v>29</v>
      </c>
      <c r="C38" s="5" t="s">
        <v>18</v>
      </c>
      <c r="D38" s="5" t="s">
        <v>62</v>
      </c>
      <c r="E38" s="5" t="s">
        <v>17</v>
      </c>
      <c r="F38" s="15">
        <v>229.272727272727</v>
      </c>
      <c r="G38" s="15">
        <v>-352.72727272726797</v>
      </c>
      <c r="H38" s="15">
        <f>Table1[[#This Row],[Units Sold]]*Table1[[#This Row],[Selling Price]]</f>
        <v>-80870.743801651712</v>
      </c>
      <c r="I38" s="15">
        <v>11463.6363636364</v>
      </c>
      <c r="J38" s="15">
        <f>Table1[[#This Row],[Revenue]]-Table1[[#This Row],[Cost]]</f>
        <v>-92334.380165288108</v>
      </c>
      <c r="K38" s="19">
        <f>Table1[[#This Row],[Revenue]]/Table1[[#This Row],[Selling Price]]</f>
        <v>229.27272727272702</v>
      </c>
      <c r="L38" s="8">
        <f>Table1[[#This Row],[Revenue]]/Table1[[#This Row],[Target sales]]</f>
        <v>-352.72727272726797</v>
      </c>
    </row>
    <row r="39" spans="1:12" ht="15" thickBot="1" x14ac:dyDescent="0.35">
      <c r="A39" s="7">
        <v>46262</v>
      </c>
      <c r="B39" s="5" t="s">
        <v>27</v>
      </c>
      <c r="C39" s="5" t="s">
        <v>21</v>
      </c>
      <c r="D39" s="5" t="s">
        <v>63</v>
      </c>
      <c r="E39" s="5" t="s">
        <v>20</v>
      </c>
      <c r="F39" s="15">
        <v>234.424242424243</v>
      </c>
      <c r="G39" s="15">
        <v>-437.57575757575802</v>
      </c>
      <c r="H39" s="15">
        <f>Table1[[#This Row],[Units Sold]]*Table1[[#This Row],[Selling Price]]</f>
        <v>-102578.36547291129</v>
      </c>
      <c r="I39" s="15">
        <v>10521.2121212121</v>
      </c>
      <c r="J39" s="15">
        <f>Table1[[#This Row],[Revenue]]-Table1[[#This Row],[Cost]]</f>
        <v>-113099.57759412339</v>
      </c>
      <c r="K39" s="19">
        <f>Table1[[#This Row],[Revenue]]/Table1[[#This Row],[Selling Price]]</f>
        <v>234.424242424243</v>
      </c>
      <c r="L39" s="8">
        <f>Table1[[#This Row],[Revenue]]/Table1[[#This Row],[Target sales]]</f>
        <v>-437.57575757575802</v>
      </c>
    </row>
    <row r="40" spans="1:12" ht="15" thickBot="1" x14ac:dyDescent="0.35">
      <c r="A40" s="7">
        <v>46267</v>
      </c>
      <c r="B40" s="5" t="s">
        <v>54</v>
      </c>
      <c r="C40" s="5" t="s">
        <v>12</v>
      </c>
      <c r="D40" s="5" t="s">
        <v>64</v>
      </c>
      <c r="E40" s="5" t="s">
        <v>14</v>
      </c>
      <c r="F40" s="15">
        <v>239.57575757575799</v>
      </c>
      <c r="G40" s="15">
        <v>-522.42424242423795</v>
      </c>
      <c r="H40" s="15">
        <f>Table1[[#This Row],[Units Sold]]*Table1[[#This Row],[Selling Price]]</f>
        <v>-125160.18365472826</v>
      </c>
      <c r="I40" s="15">
        <v>9578.7878787878908</v>
      </c>
      <c r="J40" s="15">
        <f>Table1[[#This Row],[Revenue]]-Table1[[#This Row],[Cost]]</f>
        <v>-134738.97153351616</v>
      </c>
      <c r="K40" s="19">
        <f>Table1[[#This Row],[Revenue]]/Table1[[#This Row],[Selling Price]]</f>
        <v>239.57575757575799</v>
      </c>
      <c r="L40" s="8">
        <f>Table1[[#This Row],[Revenue]]/Table1[[#This Row],[Target sales]]</f>
        <v>-522.42424242423795</v>
      </c>
    </row>
    <row r="41" spans="1:12" ht="15" thickBot="1" x14ac:dyDescent="0.35">
      <c r="A41" s="7">
        <v>46300</v>
      </c>
      <c r="B41" s="5" t="s">
        <v>55</v>
      </c>
      <c r="C41" s="5" t="s">
        <v>15</v>
      </c>
      <c r="D41" s="5" t="s">
        <v>65</v>
      </c>
      <c r="E41" s="5" t="s">
        <v>17</v>
      </c>
      <c r="F41" s="15">
        <v>244.727272727273</v>
      </c>
      <c r="G41" s="15">
        <v>-607.27272727272805</v>
      </c>
      <c r="H41" s="15">
        <f>Table1[[#This Row],[Units Sold]]*Table1[[#This Row],[Selling Price]]</f>
        <v>-148616.1983471078</v>
      </c>
      <c r="I41" s="15">
        <v>8636.3636363636906</v>
      </c>
      <c r="J41" s="15">
        <f>Table1[[#This Row],[Revenue]]-Table1[[#This Row],[Cost]]</f>
        <v>-157252.5619834715</v>
      </c>
      <c r="K41" s="19">
        <f>Table1[[#This Row],[Revenue]]/Table1[[#This Row],[Selling Price]]</f>
        <v>244.727272727273</v>
      </c>
      <c r="L41" s="8">
        <f>Table1[[#This Row],[Revenue]]/Table1[[#This Row],[Target sales]]</f>
        <v>-607.27272727272805</v>
      </c>
    </row>
    <row r="42" spans="1:12" ht="15" thickBot="1" x14ac:dyDescent="0.35">
      <c r="A42" s="7">
        <v>46023</v>
      </c>
      <c r="B42" s="5" t="s">
        <v>11</v>
      </c>
      <c r="C42" s="5" t="s">
        <v>12</v>
      </c>
      <c r="D42" s="5" t="s">
        <v>66</v>
      </c>
      <c r="E42" s="5" t="s">
        <v>14</v>
      </c>
      <c r="F42" s="15">
        <v>249.87878787878799</v>
      </c>
      <c r="G42" s="15">
        <v>-692.12121212120803</v>
      </c>
      <c r="H42" s="15">
        <f>Table1[[#This Row],[Units Sold]]*Table1[[#This Row],[Selling Price]]</f>
        <v>-172946.40955004498</v>
      </c>
      <c r="I42" s="15">
        <v>7693.9393939393804</v>
      </c>
      <c r="J42" s="15">
        <f>Table1[[#This Row],[Revenue]]-Table1[[#This Row],[Cost]]</f>
        <v>-180640.34894398437</v>
      </c>
      <c r="K42" s="19">
        <f>Table1[[#This Row],[Revenue]]/Table1[[#This Row],[Selling Price]]</f>
        <v>249.87878787878799</v>
      </c>
      <c r="L42" s="8">
        <f>Table1[[#This Row],[Revenue]]/Table1[[#This Row],[Target sales]]</f>
        <v>-692.12121212120803</v>
      </c>
    </row>
    <row r="43" spans="1:12" ht="15" thickBot="1" x14ac:dyDescent="0.35">
      <c r="A43" s="7">
        <v>46058</v>
      </c>
      <c r="B43" s="5" t="s">
        <v>23</v>
      </c>
      <c r="C43" s="5" t="s">
        <v>15</v>
      </c>
      <c r="D43" s="5" t="s">
        <v>67</v>
      </c>
      <c r="E43" s="5" t="s">
        <v>17</v>
      </c>
      <c r="F43" s="15">
        <v>255.030303030303</v>
      </c>
      <c r="G43" s="15">
        <v>-776.96969696969802</v>
      </c>
      <c r="H43" s="15">
        <f>Table1[[#This Row],[Units Sold]]*Table1[[#This Row],[Selling Price]]</f>
        <v>-198150.81726354477</v>
      </c>
      <c r="I43" s="15">
        <v>6751.5151515151902</v>
      </c>
      <c r="J43" s="15">
        <f>Table1[[#This Row],[Revenue]]-Table1[[#This Row],[Cost]]</f>
        <v>-204902.33241505997</v>
      </c>
      <c r="K43" s="19">
        <f>Table1[[#This Row],[Revenue]]/Table1[[#This Row],[Selling Price]]</f>
        <v>255.03030303030297</v>
      </c>
      <c r="L43" s="8">
        <f>Table1[[#This Row],[Revenue]]/Table1[[#This Row],[Target sales]]</f>
        <v>-776.96969696969802</v>
      </c>
    </row>
    <row r="44" spans="1:12" ht="15" thickBot="1" x14ac:dyDescent="0.35">
      <c r="A44" s="7">
        <v>46091</v>
      </c>
      <c r="B44" s="5" t="s">
        <v>56</v>
      </c>
      <c r="C44" s="5" t="s">
        <v>18</v>
      </c>
      <c r="D44" s="5" t="s">
        <v>13</v>
      </c>
      <c r="E44" s="5" t="s">
        <v>20</v>
      </c>
      <c r="F44" s="15">
        <v>260.18181818181802</v>
      </c>
      <c r="G44" s="15">
        <v>-861.818181818178</v>
      </c>
      <c r="H44" s="15">
        <f>Table1[[#This Row],[Units Sold]]*Table1[[#This Row],[Selling Price]]</f>
        <v>-224229.42148760217</v>
      </c>
      <c r="I44" s="15">
        <v>5809.0909090908899</v>
      </c>
      <c r="J44" s="15">
        <f>Table1[[#This Row],[Revenue]]-Table1[[#This Row],[Cost]]</f>
        <v>-230038.51239669306</v>
      </c>
      <c r="K44" s="19">
        <f>Table1[[#This Row],[Revenue]]/Table1[[#This Row],[Selling Price]]</f>
        <v>260.18181818181802</v>
      </c>
      <c r="L44" s="8">
        <f>Table1[[#This Row],[Revenue]]/Table1[[#This Row],[Target sales]]</f>
        <v>-861.818181818178</v>
      </c>
    </row>
    <row r="45" spans="1:12" ht="15" thickBot="1" x14ac:dyDescent="0.35">
      <c r="A45" s="7">
        <v>46127</v>
      </c>
      <c r="B45" s="5" t="s">
        <v>36</v>
      </c>
      <c r="C45" s="5" t="s">
        <v>21</v>
      </c>
      <c r="D45" s="5" t="s">
        <v>16</v>
      </c>
      <c r="E45" s="5" t="s">
        <v>14</v>
      </c>
      <c r="F45" s="15">
        <v>265.33333333333297</v>
      </c>
      <c r="G45" s="15">
        <v>-946.66666666666799</v>
      </c>
      <c r="H45" s="15">
        <f>Table1[[#This Row],[Units Sold]]*Table1[[#This Row],[Selling Price]]</f>
        <v>-251182.22222222222</v>
      </c>
      <c r="I45" s="15">
        <v>4866.6666666666897</v>
      </c>
      <c r="J45" s="15">
        <f>Table1[[#This Row],[Revenue]]-Table1[[#This Row],[Cost]]</f>
        <v>-256048.88888888891</v>
      </c>
      <c r="K45" s="19">
        <f>Table1[[#This Row],[Revenue]]/Table1[[#This Row],[Selling Price]]</f>
        <v>265.33333333333297</v>
      </c>
      <c r="L45" s="8">
        <f>Table1[[#This Row],[Revenue]]/Table1[[#This Row],[Target sales]]</f>
        <v>-946.66666666666799</v>
      </c>
    </row>
    <row r="46" spans="1:12" ht="15" thickBot="1" x14ac:dyDescent="0.35">
      <c r="A46" s="7">
        <v>46162</v>
      </c>
      <c r="B46" s="5" t="s">
        <v>37</v>
      </c>
      <c r="C46" s="5" t="s">
        <v>12</v>
      </c>
      <c r="D46" s="5" t="s">
        <v>19</v>
      </c>
      <c r="E46" s="5" t="s">
        <v>20</v>
      </c>
      <c r="F46" s="15">
        <v>270.48484848484901</v>
      </c>
      <c r="G46" s="15">
        <v>-1031.5151515151499</v>
      </c>
      <c r="H46" s="15">
        <f>Table1[[#This Row],[Units Sold]]*Table1[[#This Row],[Selling Price]]</f>
        <v>-279009.21946740139</v>
      </c>
      <c r="I46" s="15">
        <v>3924.2424242423899</v>
      </c>
      <c r="J46" s="15">
        <f>Table1[[#This Row],[Revenue]]-Table1[[#This Row],[Cost]]</f>
        <v>-282933.46189164376</v>
      </c>
      <c r="K46" s="19">
        <f>Table1[[#This Row],[Revenue]]/Table1[[#This Row],[Selling Price]]</f>
        <v>270.48484848484901</v>
      </c>
      <c r="L46" s="8">
        <f>Table1[[#This Row],[Revenue]]/Table1[[#This Row],[Target sales]]</f>
        <v>-1031.5151515151499</v>
      </c>
    </row>
    <row r="47" spans="1:12" ht="15" thickBot="1" x14ac:dyDescent="0.35">
      <c r="A47" s="7">
        <v>46195</v>
      </c>
      <c r="B47" s="5" t="s">
        <v>38</v>
      </c>
      <c r="C47" s="5" t="s">
        <v>15</v>
      </c>
      <c r="D47" s="5" t="s">
        <v>22</v>
      </c>
      <c r="E47" s="5" t="s">
        <v>14</v>
      </c>
      <c r="F47" s="15">
        <v>275.63636363636402</v>
      </c>
      <c r="G47" s="15">
        <v>-1116.3636363636399</v>
      </c>
      <c r="H47" s="15">
        <f>Table1[[#This Row],[Units Sold]]*Table1[[#This Row],[Selling Price]]</f>
        <v>-307710.41322314192</v>
      </c>
      <c r="I47" s="15">
        <v>2981.8181818181902</v>
      </c>
      <c r="J47" s="15">
        <f>Table1[[#This Row],[Revenue]]-Table1[[#This Row],[Cost]]</f>
        <v>-310692.2314049601</v>
      </c>
      <c r="K47" s="19">
        <f>Table1[[#This Row],[Revenue]]/Table1[[#This Row],[Selling Price]]</f>
        <v>275.63636363636402</v>
      </c>
      <c r="L47" s="8">
        <f>Table1[[#This Row],[Revenue]]/Table1[[#This Row],[Target sales]]</f>
        <v>-1116.3636363636399</v>
      </c>
    </row>
    <row r="48" spans="1:12" ht="15" thickBot="1" x14ac:dyDescent="0.35">
      <c r="A48" s="7">
        <v>46228</v>
      </c>
      <c r="B48" s="5" t="s">
        <v>39</v>
      </c>
      <c r="C48" s="5" t="s">
        <v>18</v>
      </c>
      <c r="D48" s="5" t="s">
        <v>58</v>
      </c>
      <c r="E48" s="5" t="s">
        <v>17</v>
      </c>
      <c r="F48" s="15">
        <v>280.78787878787898</v>
      </c>
      <c r="G48" s="15">
        <v>-1201.2121212121201</v>
      </c>
      <c r="H48" s="15">
        <f>Table1[[#This Row],[Units Sold]]*Table1[[#This Row],[Selling Price]]</f>
        <v>-337285.80348943977</v>
      </c>
      <c r="I48" s="15">
        <v>2039.39393939399</v>
      </c>
      <c r="J48" s="15">
        <f>Table1[[#This Row],[Revenue]]-Table1[[#This Row],[Cost]]</f>
        <v>-339325.19742883375</v>
      </c>
      <c r="K48" s="19">
        <f>Table1[[#This Row],[Revenue]]/Table1[[#This Row],[Selling Price]]</f>
        <v>280.78787878787898</v>
      </c>
      <c r="L48" s="8">
        <f>Table1[[#This Row],[Revenue]]/Table1[[#This Row],[Target sales]]</f>
        <v>-1201.2121212121201</v>
      </c>
    </row>
    <row r="49" spans="1:12" ht="15" thickBot="1" x14ac:dyDescent="0.35">
      <c r="A49" s="7">
        <v>46262</v>
      </c>
      <c r="B49" s="5" t="s">
        <v>30</v>
      </c>
      <c r="C49" s="5" t="s">
        <v>21</v>
      </c>
      <c r="D49" s="5" t="s">
        <v>59</v>
      </c>
      <c r="E49" s="5" t="s">
        <v>20</v>
      </c>
      <c r="F49" s="15">
        <v>285.93939393939399</v>
      </c>
      <c r="G49" s="15">
        <v>-1286.0606060606001</v>
      </c>
      <c r="H49" s="15">
        <f>Table1[[#This Row],[Units Sold]]*Table1[[#This Row],[Selling Price]]</f>
        <v>-367735.39026629773</v>
      </c>
      <c r="I49" s="15">
        <v>1096.9696969696899</v>
      </c>
      <c r="J49" s="15">
        <f>Table1[[#This Row],[Revenue]]-Table1[[#This Row],[Cost]]</f>
        <v>-368832.3599632674</v>
      </c>
      <c r="K49" s="19">
        <f>Table1[[#This Row],[Revenue]]/Table1[[#This Row],[Selling Price]]</f>
        <v>285.93939393939399</v>
      </c>
      <c r="L49" s="8">
        <f>Table1[[#This Row],[Revenue]]/Table1[[#This Row],[Target sales]]</f>
        <v>-1286.0606060606001</v>
      </c>
    </row>
    <row r="50" spans="1:12" ht="15" thickBot="1" x14ac:dyDescent="0.35">
      <c r="A50" s="7">
        <v>46267</v>
      </c>
      <c r="B50" s="5" t="s">
        <v>31</v>
      </c>
      <c r="C50" s="5" t="s">
        <v>12</v>
      </c>
      <c r="D50" s="5" t="s">
        <v>60</v>
      </c>
      <c r="E50" s="5" t="s">
        <v>14</v>
      </c>
      <c r="F50" s="15">
        <v>291.09090909090901</v>
      </c>
      <c r="G50" s="15">
        <v>-1370.9090909090901</v>
      </c>
      <c r="H50" s="15">
        <f>Table1[[#This Row],[Units Sold]]*Table1[[#This Row],[Selling Price]]</f>
        <v>-399059.17355371866</v>
      </c>
      <c r="I50" s="15">
        <v>154.545454545485</v>
      </c>
      <c r="J50" s="15">
        <f>Table1[[#This Row],[Revenue]]-Table1[[#This Row],[Cost]]</f>
        <v>-399213.71900826413</v>
      </c>
      <c r="K50" s="19">
        <f>Table1[[#This Row],[Revenue]]/Table1[[#This Row],[Selling Price]]</f>
        <v>291.09090909090901</v>
      </c>
      <c r="L50" s="8">
        <f>Table1[[#This Row],[Revenue]]/Table1[[#This Row],[Target sales]]</f>
        <v>-1370.9090909090901</v>
      </c>
    </row>
    <row r="51" spans="1:12" ht="15" thickBot="1" x14ac:dyDescent="0.35">
      <c r="A51" s="7">
        <v>46300</v>
      </c>
      <c r="B51" s="5" t="s">
        <v>32</v>
      </c>
      <c r="C51" s="5" t="s">
        <v>15</v>
      </c>
      <c r="D51" s="5" t="s">
        <v>61</v>
      </c>
      <c r="E51" s="5" t="s">
        <v>17</v>
      </c>
      <c r="F51" s="15">
        <v>296.24242424242402</v>
      </c>
      <c r="G51" s="15">
        <v>-1455.7575757575701</v>
      </c>
      <c r="H51" s="15">
        <f>Table1[[#This Row],[Units Sold]]*Table1[[#This Row],[Selling Price]]</f>
        <v>-431257.15335169679</v>
      </c>
      <c r="I51" s="15">
        <v>-787.878787878813</v>
      </c>
      <c r="J51" s="15">
        <f>Table1[[#This Row],[Revenue]]-Table1[[#This Row],[Cost]]</f>
        <v>-430469.27456381801</v>
      </c>
      <c r="K51" s="19">
        <f>Table1[[#This Row],[Revenue]]/Table1[[#This Row],[Selling Price]]</f>
        <v>296.24242424242402</v>
      </c>
      <c r="L51" s="8">
        <f>Table1[[#This Row],[Revenue]]/Table1[[#This Row],[Target sales]]</f>
        <v>-1455.7575757575701</v>
      </c>
    </row>
    <row r="52" spans="1:12" ht="15" thickBot="1" x14ac:dyDescent="0.35">
      <c r="A52" s="7">
        <v>46023</v>
      </c>
      <c r="B52" s="5" t="s">
        <v>33</v>
      </c>
      <c r="C52" s="5" t="s">
        <v>12</v>
      </c>
      <c r="D52" s="5" t="s">
        <v>62</v>
      </c>
      <c r="E52" s="5" t="s">
        <v>14</v>
      </c>
      <c r="F52" s="15">
        <v>301.39393939394</v>
      </c>
      <c r="G52" s="15">
        <v>-1540.6060606060601</v>
      </c>
      <c r="H52" s="15">
        <f>Table1[[#This Row],[Units Sold]]*Table1[[#This Row],[Selling Price]]</f>
        <v>-464329.32966023951</v>
      </c>
      <c r="I52" s="15">
        <v>-1730.30303030301</v>
      </c>
      <c r="J52" s="15">
        <f>Table1[[#This Row],[Revenue]]-Table1[[#This Row],[Cost]]</f>
        <v>-462599.02662993653</v>
      </c>
      <c r="K52" s="19">
        <f>Table1[[#This Row],[Revenue]]/Table1[[#This Row],[Selling Price]]</f>
        <v>301.39393939394</v>
      </c>
      <c r="L52" s="8">
        <f>Table1[[#This Row],[Revenue]]/Table1[[#This Row],[Target sales]]</f>
        <v>-1540.6060606060601</v>
      </c>
    </row>
    <row r="53" spans="1:12" ht="15" thickBot="1" x14ac:dyDescent="0.35">
      <c r="A53" s="7">
        <v>46058</v>
      </c>
      <c r="B53" s="5" t="s">
        <v>34</v>
      </c>
      <c r="C53" s="5" t="s">
        <v>15</v>
      </c>
      <c r="D53" s="5" t="s">
        <v>63</v>
      </c>
      <c r="E53" s="5" t="s">
        <v>17</v>
      </c>
      <c r="F53" s="15">
        <v>306.54545454545502</v>
      </c>
      <c r="G53" s="15">
        <v>-1625.45454545454</v>
      </c>
      <c r="H53" s="15">
        <f>Table1[[#This Row],[Units Sold]]*Table1[[#This Row],[Selling Price]]</f>
        <v>-498275.70247933792</v>
      </c>
      <c r="I53" s="15">
        <v>-2672.7272727273098</v>
      </c>
      <c r="J53" s="15">
        <f>Table1[[#This Row],[Revenue]]-Table1[[#This Row],[Cost]]</f>
        <v>-495602.97520661063</v>
      </c>
      <c r="K53" s="19">
        <f>Table1[[#This Row],[Revenue]]/Table1[[#This Row],[Selling Price]]</f>
        <v>306.54545454545502</v>
      </c>
      <c r="L53" s="8">
        <f>Table1[[#This Row],[Revenue]]/Table1[[#This Row],[Target sales]]</f>
        <v>-1625.45454545454</v>
      </c>
    </row>
    <row r="54" spans="1:12" ht="15" thickBot="1" x14ac:dyDescent="0.35">
      <c r="A54" s="7">
        <v>46091</v>
      </c>
      <c r="B54" s="5" t="s">
        <v>35</v>
      </c>
      <c r="C54" s="5" t="s">
        <v>18</v>
      </c>
      <c r="D54" s="5" t="s">
        <v>64</v>
      </c>
      <c r="E54" s="5" t="s">
        <v>20</v>
      </c>
      <c r="F54" s="15">
        <v>311.69696969696997</v>
      </c>
      <c r="G54" s="15">
        <v>-1710.30303030303</v>
      </c>
      <c r="H54" s="15">
        <f>Table1[[#This Row],[Units Sold]]*Table1[[#This Row],[Selling Price]]</f>
        <v>-533096.27180899947</v>
      </c>
      <c r="I54" s="15">
        <v>-3615.15151515151</v>
      </c>
      <c r="J54" s="15">
        <f>Table1[[#This Row],[Revenue]]-Table1[[#This Row],[Cost]]</f>
        <v>-529481.12029384798</v>
      </c>
      <c r="K54" s="19">
        <f>Table1[[#This Row],[Revenue]]/Table1[[#This Row],[Selling Price]]</f>
        <v>311.69696969696997</v>
      </c>
      <c r="L54" s="8">
        <f>Table1[[#This Row],[Revenue]]/Table1[[#This Row],[Target sales]]</f>
        <v>-1710.30303030303</v>
      </c>
    </row>
    <row r="55" spans="1:12" ht="15" thickBot="1" x14ac:dyDescent="0.35">
      <c r="A55" s="7">
        <v>46127</v>
      </c>
      <c r="B55" s="5" t="s">
        <v>46</v>
      </c>
      <c r="C55" s="5" t="s">
        <v>21</v>
      </c>
      <c r="D55" s="5" t="s">
        <v>65</v>
      </c>
      <c r="E55" s="5" t="s">
        <v>14</v>
      </c>
      <c r="F55" s="15">
        <v>316.84848484848499</v>
      </c>
      <c r="G55" s="15">
        <v>-1795.15151515151</v>
      </c>
      <c r="H55" s="15">
        <f>Table1[[#This Row],[Units Sold]]*Table1[[#This Row],[Selling Price]]</f>
        <v>-568791.03764921811</v>
      </c>
      <c r="I55" s="15">
        <v>-4557.5757575757098</v>
      </c>
      <c r="J55" s="15">
        <f>Table1[[#This Row],[Revenue]]-Table1[[#This Row],[Cost]]</f>
        <v>-564233.46189164242</v>
      </c>
      <c r="K55" s="19">
        <f>Table1[[#This Row],[Revenue]]/Table1[[#This Row],[Selling Price]]</f>
        <v>316.84848484848499</v>
      </c>
      <c r="L55" s="8">
        <f>Table1[[#This Row],[Revenue]]/Table1[[#This Row],[Target sales]]</f>
        <v>-1795.15151515151</v>
      </c>
    </row>
    <row r="56" spans="1:12" ht="15" thickBot="1" x14ac:dyDescent="0.35">
      <c r="A56" s="7">
        <v>46162</v>
      </c>
      <c r="B56" s="5" t="s">
        <v>47</v>
      </c>
      <c r="C56" s="5" t="s">
        <v>12</v>
      </c>
      <c r="D56" s="5" t="s">
        <v>66</v>
      </c>
      <c r="E56" s="5" t="s">
        <v>20</v>
      </c>
      <c r="F56" s="15">
        <v>322</v>
      </c>
      <c r="G56" s="15">
        <v>-1880</v>
      </c>
      <c r="H56" s="15">
        <f>Table1[[#This Row],[Units Sold]]*Table1[[#This Row],[Selling Price]]</f>
        <v>-605360</v>
      </c>
      <c r="I56" s="15">
        <v>-5500.00000000001</v>
      </c>
      <c r="J56" s="15">
        <f>Table1[[#This Row],[Revenue]]-Table1[[#This Row],[Cost]]</f>
        <v>-599860</v>
      </c>
      <c r="K56" s="19">
        <f>Table1[[#This Row],[Revenue]]/Table1[[#This Row],[Selling Price]]</f>
        <v>322</v>
      </c>
      <c r="L56" s="8">
        <f>Table1[[#This Row],[Revenue]]/Table1[[#This Row],[Target sales]]</f>
        <v>-1880</v>
      </c>
    </row>
    <row r="57" spans="1:12" ht="15" thickBot="1" x14ac:dyDescent="0.35">
      <c r="A57" s="7">
        <v>46195</v>
      </c>
      <c r="B57" s="5" t="s">
        <v>48</v>
      </c>
      <c r="C57" s="5" t="s">
        <v>15</v>
      </c>
      <c r="D57" s="5" t="s">
        <v>67</v>
      </c>
      <c r="E57" s="5" t="s">
        <v>14</v>
      </c>
      <c r="F57" s="15">
        <v>327.15151515151501</v>
      </c>
      <c r="G57" s="15">
        <v>-1964.84848484848</v>
      </c>
      <c r="H57" s="15">
        <f>Table1[[#This Row],[Units Sold]]*Table1[[#This Row],[Selling Price]]</f>
        <v>-642803.15886133886</v>
      </c>
      <c r="I57" s="15">
        <v>-6442.4242424242102</v>
      </c>
      <c r="J57" s="15">
        <f>Table1[[#This Row],[Revenue]]-Table1[[#This Row],[Cost]]</f>
        <v>-636360.73461891466</v>
      </c>
      <c r="K57" s="19">
        <f>Table1[[#This Row],[Revenue]]/Table1[[#This Row],[Selling Price]]</f>
        <v>327.15151515151501</v>
      </c>
      <c r="L57" s="8">
        <f>Table1[[#This Row],[Revenue]]/Table1[[#This Row],[Target sales]]</f>
        <v>-1964.8484848484802</v>
      </c>
    </row>
    <row r="58" spans="1:12" ht="15" thickBot="1" x14ac:dyDescent="0.35">
      <c r="A58" s="7">
        <v>46228</v>
      </c>
      <c r="B58" s="5" t="s">
        <v>49</v>
      </c>
      <c r="C58" s="5" t="s">
        <v>18</v>
      </c>
      <c r="D58" s="5" t="s">
        <v>13</v>
      </c>
      <c r="E58" s="5" t="s">
        <v>17</v>
      </c>
      <c r="F58" s="15">
        <v>332.30303030303003</v>
      </c>
      <c r="G58" s="15">
        <v>-2049.69696969697</v>
      </c>
      <c r="H58" s="15">
        <f>Table1[[#This Row],[Units Sold]]*Table1[[#This Row],[Selling Price]]</f>
        <v>-681120.51423324109</v>
      </c>
      <c r="I58" s="15">
        <v>-7384.8484848485105</v>
      </c>
      <c r="J58" s="15">
        <f>Table1[[#This Row],[Revenue]]-Table1[[#This Row],[Cost]]</f>
        <v>-673735.66574839258</v>
      </c>
      <c r="K58" s="19">
        <f>Table1[[#This Row],[Revenue]]/Table1[[#This Row],[Selling Price]]</f>
        <v>332.30303030303003</v>
      </c>
      <c r="L58" s="8">
        <f>Table1[[#This Row],[Revenue]]/Table1[[#This Row],[Target sales]]</f>
        <v>-2049.69696969697</v>
      </c>
    </row>
    <row r="59" spans="1:12" ht="15" thickBot="1" x14ac:dyDescent="0.35">
      <c r="A59" s="7">
        <v>46262</v>
      </c>
      <c r="B59" s="5" t="s">
        <v>40</v>
      </c>
      <c r="C59" s="5" t="s">
        <v>21</v>
      </c>
      <c r="D59" s="5" t="s">
        <v>16</v>
      </c>
      <c r="E59" s="5" t="s">
        <v>20</v>
      </c>
      <c r="F59" s="15">
        <v>337.45454545454601</v>
      </c>
      <c r="G59" s="15">
        <v>-2134.54545454545</v>
      </c>
      <c r="H59" s="15">
        <f>Table1[[#This Row],[Units Sold]]*Table1[[#This Row],[Selling Price]]</f>
        <v>-720312.06611570215</v>
      </c>
      <c r="I59" s="15">
        <v>-8327.2727272727097</v>
      </c>
      <c r="J59" s="15">
        <f>Table1[[#This Row],[Revenue]]-Table1[[#This Row],[Cost]]</f>
        <v>-711984.79338842945</v>
      </c>
      <c r="K59" s="19">
        <f>Table1[[#This Row],[Revenue]]/Table1[[#This Row],[Selling Price]]</f>
        <v>337.45454545454601</v>
      </c>
      <c r="L59" s="8">
        <f>Table1[[#This Row],[Revenue]]/Table1[[#This Row],[Target sales]]</f>
        <v>-2134.54545454545</v>
      </c>
    </row>
    <row r="60" spans="1:12" ht="15" thickBot="1" x14ac:dyDescent="0.35">
      <c r="A60" s="7">
        <v>46267</v>
      </c>
      <c r="B60" s="5" t="s">
        <v>41</v>
      </c>
      <c r="C60" s="5" t="s">
        <v>12</v>
      </c>
      <c r="D60" s="5" t="s">
        <v>19</v>
      </c>
      <c r="E60" s="5" t="s">
        <v>14</v>
      </c>
      <c r="F60" s="15">
        <v>342.60606060606102</v>
      </c>
      <c r="G60" s="15">
        <v>-2219.3939393939399</v>
      </c>
      <c r="H60" s="15">
        <f>Table1[[#This Row],[Units Sold]]*Table1[[#This Row],[Selling Price]]</f>
        <v>-760377.81450872472</v>
      </c>
      <c r="I60" s="15">
        <v>-9269.6969696969099</v>
      </c>
      <c r="J60" s="15">
        <f>Table1[[#This Row],[Revenue]]-Table1[[#This Row],[Cost]]</f>
        <v>-751108.11753902782</v>
      </c>
      <c r="K60" s="19">
        <f>Table1[[#This Row],[Revenue]]/Table1[[#This Row],[Selling Price]]</f>
        <v>342.60606060606102</v>
      </c>
      <c r="L60" s="8">
        <f>Table1[[#This Row],[Revenue]]/Table1[[#This Row],[Target sales]]</f>
        <v>-2219.3939393939399</v>
      </c>
    </row>
    <row r="61" spans="1:12" ht="15" thickBot="1" x14ac:dyDescent="0.35">
      <c r="A61" s="7">
        <v>46300</v>
      </c>
      <c r="B61" s="5" t="s">
        <v>42</v>
      </c>
      <c r="C61" s="5" t="s">
        <v>15</v>
      </c>
      <c r="D61" s="5" t="s">
        <v>22</v>
      </c>
      <c r="E61" s="5" t="s">
        <v>17</v>
      </c>
      <c r="F61" s="15">
        <v>347.75757575757598</v>
      </c>
      <c r="G61" s="15">
        <v>-2304.2424242424199</v>
      </c>
      <c r="H61" s="15">
        <f>Table1[[#This Row],[Units Sold]]*Table1[[#This Row],[Selling Price]]</f>
        <v>-801317.75941230392</v>
      </c>
      <c r="I61" s="15">
        <v>-10212.121212121199</v>
      </c>
      <c r="J61" s="15">
        <f>Table1[[#This Row],[Revenue]]-Table1[[#This Row],[Cost]]</f>
        <v>-791105.6382001827</v>
      </c>
      <c r="K61" s="19">
        <f>Table1[[#This Row],[Revenue]]/Table1[[#This Row],[Selling Price]]</f>
        <v>347.75757575757598</v>
      </c>
      <c r="L61" s="8">
        <f>Table1[[#This Row],[Revenue]]/Table1[[#This Row],[Target sales]]</f>
        <v>-2304.2424242424199</v>
      </c>
    </row>
    <row r="62" spans="1:12" ht="15" thickBot="1" x14ac:dyDescent="0.35">
      <c r="A62" s="7">
        <v>46023</v>
      </c>
      <c r="B62" s="5" t="s">
        <v>43</v>
      </c>
      <c r="C62" s="5" t="s">
        <v>12</v>
      </c>
      <c r="D62" s="5" t="s">
        <v>58</v>
      </c>
      <c r="E62" s="5" t="s">
        <v>14</v>
      </c>
      <c r="F62" s="15">
        <v>352.90909090909099</v>
      </c>
      <c r="G62" s="15">
        <v>-2389.0909090909099</v>
      </c>
      <c r="H62" s="15">
        <f>Table1[[#This Row],[Units Sold]]*Table1[[#This Row],[Selling Price]]</f>
        <v>-843131.90082644683</v>
      </c>
      <c r="I62" s="15">
        <v>-11154.545454545399</v>
      </c>
      <c r="J62" s="15">
        <f>Table1[[#This Row],[Revenue]]-Table1[[#This Row],[Cost]]</f>
        <v>-831977.35537190142</v>
      </c>
      <c r="K62" s="19">
        <f>Table1[[#This Row],[Revenue]]/Table1[[#This Row],[Selling Price]]</f>
        <v>352.90909090909099</v>
      </c>
      <c r="L62" s="8">
        <f>Table1[[#This Row],[Revenue]]/Table1[[#This Row],[Target sales]]</f>
        <v>-2389.0909090909099</v>
      </c>
    </row>
    <row r="63" spans="1:12" ht="15" thickBot="1" x14ac:dyDescent="0.35">
      <c r="A63" s="7">
        <v>46058</v>
      </c>
      <c r="B63" s="5" t="s">
        <v>44</v>
      </c>
      <c r="C63" s="5" t="s">
        <v>15</v>
      </c>
      <c r="D63" s="5" t="s">
        <v>59</v>
      </c>
      <c r="E63" s="5" t="s">
        <v>17</v>
      </c>
      <c r="F63" s="15">
        <v>358.06060606060601</v>
      </c>
      <c r="G63" s="15">
        <v>-2473.9393939393899</v>
      </c>
      <c r="H63" s="15">
        <f>Table1[[#This Row],[Units Sold]]*Table1[[#This Row],[Selling Price]]</f>
        <v>-885820.23875114624</v>
      </c>
      <c r="I63" s="15">
        <v>-12096.9696969697</v>
      </c>
      <c r="J63" s="15">
        <f>Table1[[#This Row],[Revenue]]-Table1[[#This Row],[Cost]]</f>
        <v>-873723.26905417652</v>
      </c>
      <c r="K63" s="19">
        <f>Table1[[#This Row],[Revenue]]/Table1[[#This Row],[Selling Price]]</f>
        <v>358.06060606060601</v>
      </c>
      <c r="L63" s="8">
        <f>Table1[[#This Row],[Revenue]]/Table1[[#This Row],[Target sales]]</f>
        <v>-2473.9393939393899</v>
      </c>
    </row>
    <row r="64" spans="1:12" ht="15" thickBot="1" x14ac:dyDescent="0.35">
      <c r="A64" s="7">
        <v>46091</v>
      </c>
      <c r="B64" s="5" t="s">
        <v>45</v>
      </c>
      <c r="C64" s="5" t="s">
        <v>18</v>
      </c>
      <c r="D64" s="5" t="s">
        <v>60</v>
      </c>
      <c r="E64" s="5" t="s">
        <v>20</v>
      </c>
      <c r="F64" s="15">
        <v>363.21212121212102</v>
      </c>
      <c r="G64" s="15">
        <v>-2558.7878787878799</v>
      </c>
      <c r="H64" s="15">
        <f>Table1[[#This Row],[Units Sold]]*Table1[[#This Row],[Selling Price]]</f>
        <v>-929382.7731864095</v>
      </c>
      <c r="I64" s="15">
        <v>-13039.3939393939</v>
      </c>
      <c r="J64" s="15">
        <f>Table1[[#This Row],[Revenue]]-Table1[[#This Row],[Cost]]</f>
        <v>-916343.37924701557</v>
      </c>
      <c r="K64" s="19">
        <f>Table1[[#This Row],[Revenue]]/Table1[[#This Row],[Selling Price]]</f>
        <v>363.21212121212102</v>
      </c>
      <c r="L64" s="8">
        <f>Table1[[#This Row],[Revenue]]/Table1[[#This Row],[Target sales]]</f>
        <v>-2558.7878787878799</v>
      </c>
    </row>
    <row r="65" spans="1:12" ht="15" thickBot="1" x14ac:dyDescent="0.35">
      <c r="A65" s="7">
        <v>46127</v>
      </c>
      <c r="B65" s="5" t="s">
        <v>26</v>
      </c>
      <c r="C65" s="5" t="s">
        <v>21</v>
      </c>
      <c r="D65" s="5" t="s">
        <v>61</v>
      </c>
      <c r="E65" s="5" t="s">
        <v>14</v>
      </c>
      <c r="F65" s="15">
        <v>368.363636363637</v>
      </c>
      <c r="G65" s="15">
        <v>-2643.6363636363599</v>
      </c>
      <c r="H65" s="15">
        <f>Table1[[#This Row],[Units Sold]]*Table1[[#This Row],[Selling Price]]</f>
        <v>-973819.5041322317</v>
      </c>
      <c r="I65" s="15">
        <v>-13981.8181818182</v>
      </c>
      <c r="J65" s="15">
        <f>Table1[[#This Row],[Revenue]]-Table1[[#This Row],[Cost]]</f>
        <v>-959837.68595041346</v>
      </c>
      <c r="K65" s="19">
        <f>Table1[[#This Row],[Revenue]]/Table1[[#This Row],[Selling Price]]</f>
        <v>368.363636363637</v>
      </c>
      <c r="L65" s="8">
        <f>Table1[[#This Row],[Revenue]]/Table1[[#This Row],[Target sales]]</f>
        <v>-2643.6363636363599</v>
      </c>
    </row>
    <row r="66" spans="1:12" ht="15" thickBot="1" x14ac:dyDescent="0.35">
      <c r="A66" s="7">
        <v>46162</v>
      </c>
      <c r="B66" s="5" t="s">
        <v>27</v>
      </c>
      <c r="C66" s="5" t="s">
        <v>12</v>
      </c>
      <c r="D66" s="5" t="s">
        <v>62</v>
      </c>
      <c r="E66" s="5" t="s">
        <v>20</v>
      </c>
      <c r="F66" s="15">
        <v>373.51515151515201</v>
      </c>
      <c r="G66" s="15">
        <v>-2728.4848484848499</v>
      </c>
      <c r="H66" s="15">
        <f>Table1[[#This Row],[Units Sold]]*Table1[[#This Row],[Selling Price]]</f>
        <v>-1019130.4315886153</v>
      </c>
      <c r="I66" s="15">
        <v>-14924.2424242424</v>
      </c>
      <c r="J66" s="15">
        <f>Table1[[#This Row],[Revenue]]-Table1[[#This Row],[Cost]]</f>
        <v>-1004206.1891643729</v>
      </c>
      <c r="K66" s="19">
        <f>Table1[[#This Row],[Revenue]]/Table1[[#This Row],[Selling Price]]</f>
        <v>373.51515151515201</v>
      </c>
      <c r="L66" s="8">
        <f>Table1[[#This Row],[Revenue]]/Table1[[#This Row],[Target sales]]</f>
        <v>-2728.4848484848499</v>
      </c>
    </row>
    <row r="67" spans="1:12" ht="15" thickBot="1" x14ac:dyDescent="0.35">
      <c r="A67" s="7">
        <v>46195</v>
      </c>
      <c r="B67" s="5" t="s">
        <v>28</v>
      </c>
      <c r="C67" s="5" t="s">
        <v>15</v>
      </c>
      <c r="D67" s="5" t="s">
        <v>63</v>
      </c>
      <c r="E67" s="5" t="s">
        <v>14</v>
      </c>
      <c r="F67" s="15">
        <v>378.66666666666703</v>
      </c>
      <c r="G67" s="15">
        <v>-2813.3333333333298</v>
      </c>
      <c r="H67" s="15">
        <f>Table1[[#This Row],[Units Sold]]*Table1[[#This Row],[Selling Price]]</f>
        <v>-1065315.5555555553</v>
      </c>
      <c r="I67" s="15">
        <v>-15866.666666666601</v>
      </c>
      <c r="J67" s="15">
        <f>Table1[[#This Row],[Revenue]]-Table1[[#This Row],[Cost]]</f>
        <v>-1049448.8888888888</v>
      </c>
      <c r="K67" s="19">
        <f>Table1[[#This Row],[Revenue]]/Table1[[#This Row],[Selling Price]]</f>
        <v>378.66666666666703</v>
      </c>
      <c r="L67" s="8">
        <f>Table1[[#This Row],[Revenue]]/Table1[[#This Row],[Target sales]]</f>
        <v>-2813.3333333333298</v>
      </c>
    </row>
    <row r="68" spans="1:12" ht="15" thickBot="1" x14ac:dyDescent="0.35">
      <c r="A68" s="7">
        <v>46228</v>
      </c>
      <c r="B68" s="5" t="s">
        <v>29</v>
      </c>
      <c r="C68" s="5" t="s">
        <v>18</v>
      </c>
      <c r="D68" s="5" t="s">
        <v>64</v>
      </c>
      <c r="E68" s="5" t="s">
        <v>17</v>
      </c>
      <c r="F68" s="15">
        <v>383.81818181818198</v>
      </c>
      <c r="G68" s="15">
        <v>-2898.1818181818198</v>
      </c>
      <c r="H68" s="15">
        <f>Table1[[#This Row],[Units Sold]]*Table1[[#This Row],[Selling Price]]</f>
        <v>-1112374.8760330589</v>
      </c>
      <c r="I68" s="15">
        <v>-16809.090909090901</v>
      </c>
      <c r="J68" s="15">
        <f>Table1[[#This Row],[Revenue]]-Table1[[#This Row],[Cost]]</f>
        <v>-1095565.785123968</v>
      </c>
      <c r="K68" s="19">
        <f>Table1[[#This Row],[Revenue]]/Table1[[#This Row],[Selling Price]]</f>
        <v>383.81818181818193</v>
      </c>
      <c r="L68" s="8">
        <f>Table1[[#This Row],[Revenue]]/Table1[[#This Row],[Target sales]]</f>
        <v>-2898.1818181818198</v>
      </c>
    </row>
    <row r="69" spans="1:12" ht="15" thickBot="1" x14ac:dyDescent="0.35">
      <c r="A69" s="7">
        <v>46262</v>
      </c>
      <c r="B69" s="5" t="s">
        <v>24</v>
      </c>
      <c r="C69" s="5" t="s">
        <v>21</v>
      </c>
      <c r="D69" s="5" t="s">
        <v>65</v>
      </c>
      <c r="E69" s="5" t="s">
        <v>20</v>
      </c>
      <c r="F69" s="15">
        <v>388.969696969697</v>
      </c>
      <c r="G69" s="15">
        <v>-2983.0303030302998</v>
      </c>
      <c r="H69" s="15">
        <f>Table1[[#This Row],[Units Sold]]*Table1[[#This Row],[Selling Price]]</f>
        <v>-1160308.3930211191</v>
      </c>
      <c r="I69" s="15">
        <v>-17751.515151515101</v>
      </c>
      <c r="J69" s="15">
        <f>Table1[[#This Row],[Revenue]]-Table1[[#This Row],[Cost]]</f>
        <v>-1142556.8778696039</v>
      </c>
      <c r="K69" s="19">
        <f>Table1[[#This Row],[Revenue]]/Table1[[#This Row],[Selling Price]]</f>
        <v>388.969696969697</v>
      </c>
      <c r="L69" s="8">
        <f>Table1[[#This Row],[Revenue]]/Table1[[#This Row],[Target sales]]</f>
        <v>-2983.0303030302998</v>
      </c>
    </row>
    <row r="70" spans="1:12" ht="15" thickBot="1" x14ac:dyDescent="0.35">
      <c r="A70" s="7">
        <v>46267</v>
      </c>
      <c r="B70" s="5" t="s">
        <v>25</v>
      </c>
      <c r="C70" s="5" t="s">
        <v>12</v>
      </c>
      <c r="D70" s="5" t="s">
        <v>66</v>
      </c>
      <c r="E70" s="5" t="s">
        <v>14</v>
      </c>
      <c r="F70" s="15">
        <v>394.12121212121201</v>
      </c>
      <c r="G70" s="15">
        <v>-3067.8787878787898</v>
      </c>
      <c r="H70" s="15">
        <f>Table1[[#This Row],[Units Sold]]*Table1[[#This Row],[Selling Price]]</f>
        <v>-1209116.1065197433</v>
      </c>
      <c r="I70" s="15">
        <v>-18693.939393939399</v>
      </c>
      <c r="J70" s="15">
        <f>Table1[[#This Row],[Revenue]]-Table1[[#This Row],[Cost]]</f>
        <v>-1190422.1671258039</v>
      </c>
      <c r="K70" s="19">
        <f>Table1[[#This Row],[Revenue]]/Table1[[#This Row],[Selling Price]]</f>
        <v>394.12121212121201</v>
      </c>
      <c r="L70" s="8">
        <f>Table1[[#This Row],[Revenue]]/Table1[[#This Row],[Target sales]]</f>
        <v>-3067.8787878787898</v>
      </c>
    </row>
    <row r="71" spans="1:12" ht="15" thickBot="1" x14ac:dyDescent="0.35">
      <c r="A71" s="7">
        <v>46300</v>
      </c>
      <c r="B71" s="5" t="s">
        <v>50</v>
      </c>
      <c r="C71" s="5" t="s">
        <v>15</v>
      </c>
      <c r="D71" s="5" t="s">
        <v>67</v>
      </c>
      <c r="E71" s="5" t="s">
        <v>17</v>
      </c>
      <c r="F71" s="15">
        <v>399.27272727272702</v>
      </c>
      <c r="G71" s="15">
        <v>-3152.7272727272698</v>
      </c>
      <c r="H71" s="15">
        <f>Table1[[#This Row],[Units Sold]]*Table1[[#This Row],[Selling Price]]</f>
        <v>-1258798.0165289238</v>
      </c>
      <c r="I71" s="15">
        <v>-19636.3636363636</v>
      </c>
      <c r="J71" s="15">
        <f>Table1[[#This Row],[Revenue]]-Table1[[#This Row],[Cost]]</f>
        <v>-1239161.6528925602</v>
      </c>
      <c r="K71" s="19">
        <f>Table1[[#This Row],[Revenue]]/Table1[[#This Row],[Selling Price]]</f>
        <v>399.27272727272708</v>
      </c>
      <c r="L71" s="8">
        <f>Table1[[#This Row],[Revenue]]/Table1[[#This Row],[Target sales]]</f>
        <v>-3152.7272727272698</v>
      </c>
    </row>
    <row r="72" spans="1:12" ht="15" thickBot="1" x14ac:dyDescent="0.35">
      <c r="A72" s="7">
        <v>46023</v>
      </c>
      <c r="B72" s="5" t="s">
        <v>51</v>
      </c>
      <c r="C72" s="5" t="s">
        <v>12</v>
      </c>
      <c r="D72" s="5" t="s">
        <v>13</v>
      </c>
      <c r="E72" s="5" t="s">
        <v>14</v>
      </c>
      <c r="F72" s="15">
        <v>404.424242424243</v>
      </c>
      <c r="G72" s="15">
        <v>-3237.5757575757598</v>
      </c>
      <c r="H72" s="15">
        <f>Table1[[#This Row],[Units Sold]]*Table1[[#This Row],[Selling Price]]</f>
        <v>-1309354.1230486713</v>
      </c>
      <c r="I72" s="15">
        <v>-20578.787878787902</v>
      </c>
      <c r="J72" s="15">
        <f>Table1[[#This Row],[Revenue]]-Table1[[#This Row],[Cost]]</f>
        <v>-1288775.3351698834</v>
      </c>
      <c r="K72" s="19">
        <f>Table1[[#This Row],[Revenue]]/Table1[[#This Row],[Selling Price]]</f>
        <v>404.424242424243</v>
      </c>
      <c r="L72" s="8">
        <f>Table1[[#This Row],[Revenue]]/Table1[[#This Row],[Target sales]]</f>
        <v>-3237.5757575757598</v>
      </c>
    </row>
    <row r="73" spans="1:12" ht="15" thickBot="1" x14ac:dyDescent="0.35">
      <c r="A73" s="7">
        <v>46058</v>
      </c>
      <c r="B73" s="5" t="s">
        <v>52</v>
      </c>
      <c r="C73" s="5" t="s">
        <v>15</v>
      </c>
      <c r="D73" s="5" t="s">
        <v>16</v>
      </c>
      <c r="E73" s="5" t="s">
        <v>17</v>
      </c>
      <c r="F73" s="15">
        <v>409.57575757575802</v>
      </c>
      <c r="G73" s="15">
        <v>-3322.4242424242402</v>
      </c>
      <c r="H73" s="15">
        <f>Table1[[#This Row],[Units Sold]]*Table1[[#This Row],[Selling Price]]</f>
        <v>-1360784.4260789722</v>
      </c>
      <c r="I73" s="15">
        <v>-21521.212121212098</v>
      </c>
      <c r="J73" s="15">
        <f>Table1[[#This Row],[Revenue]]-Table1[[#This Row],[Cost]]</f>
        <v>-1339263.21395776</v>
      </c>
      <c r="K73" s="19">
        <f>Table1[[#This Row],[Revenue]]/Table1[[#This Row],[Selling Price]]</f>
        <v>409.57575757575802</v>
      </c>
      <c r="L73" s="8">
        <f>Table1[[#This Row],[Revenue]]/Table1[[#This Row],[Target sales]]</f>
        <v>-3322.4242424242402</v>
      </c>
    </row>
    <row r="74" spans="1:12" ht="15" thickBot="1" x14ac:dyDescent="0.35">
      <c r="A74" s="7">
        <v>46091</v>
      </c>
      <c r="B74" s="5" t="s">
        <v>53</v>
      </c>
      <c r="C74" s="5" t="s">
        <v>18</v>
      </c>
      <c r="D74" s="5" t="s">
        <v>19</v>
      </c>
      <c r="E74" s="5" t="s">
        <v>20</v>
      </c>
      <c r="F74" s="15">
        <v>414.72727272727298</v>
      </c>
      <c r="G74" s="15">
        <v>-3407.2727272727202</v>
      </c>
      <c r="H74" s="15">
        <f>Table1[[#This Row],[Units Sold]]*Table1[[#This Row],[Selling Price]]</f>
        <v>-1413088.9256198327</v>
      </c>
      <c r="I74" s="15">
        <v>-22463.636363636298</v>
      </c>
      <c r="J74" s="15">
        <f>Table1[[#This Row],[Revenue]]-Table1[[#This Row],[Cost]]</f>
        <v>-1390625.2892561965</v>
      </c>
      <c r="K74" s="19">
        <f>Table1[[#This Row],[Revenue]]/Table1[[#This Row],[Selling Price]]</f>
        <v>414.72727272727298</v>
      </c>
      <c r="L74" s="8">
        <f>Table1[[#This Row],[Revenue]]/Table1[[#This Row],[Target sales]]</f>
        <v>-3407.2727272727202</v>
      </c>
    </row>
    <row r="75" spans="1:12" ht="15" thickBot="1" x14ac:dyDescent="0.35">
      <c r="A75" s="7">
        <v>46127</v>
      </c>
      <c r="B75" s="5" t="s">
        <v>36</v>
      </c>
      <c r="C75" s="5" t="s">
        <v>21</v>
      </c>
      <c r="D75" s="5" t="s">
        <v>22</v>
      </c>
      <c r="E75" s="5" t="s">
        <v>14</v>
      </c>
      <c r="F75" s="15">
        <v>419.87878787878799</v>
      </c>
      <c r="G75" s="15">
        <v>-3492.1212121212102</v>
      </c>
      <c r="H75" s="15">
        <f>Table1[[#This Row],[Units Sold]]*Table1[[#This Row],[Selling Price]]</f>
        <v>-1466267.6216712575</v>
      </c>
      <c r="I75" s="15">
        <v>-23406.060606060601</v>
      </c>
      <c r="J75" s="15">
        <f>Table1[[#This Row],[Revenue]]-Table1[[#This Row],[Cost]]</f>
        <v>-1442861.561065197</v>
      </c>
      <c r="K75" s="19">
        <f>Table1[[#This Row],[Revenue]]/Table1[[#This Row],[Selling Price]]</f>
        <v>419.87878787878799</v>
      </c>
      <c r="L75" s="8">
        <f>Table1[[#This Row],[Revenue]]/Table1[[#This Row],[Target sales]]</f>
        <v>-3492.1212121212102</v>
      </c>
    </row>
    <row r="76" spans="1:12" ht="15" thickBot="1" x14ac:dyDescent="0.35">
      <c r="A76" s="7">
        <v>46162</v>
      </c>
      <c r="B76" s="5" t="s">
        <v>37</v>
      </c>
      <c r="C76" s="5" t="s">
        <v>12</v>
      </c>
      <c r="D76" s="5" t="s">
        <v>58</v>
      </c>
      <c r="E76" s="5" t="s">
        <v>20</v>
      </c>
      <c r="F76" s="15">
        <v>425.030303030303</v>
      </c>
      <c r="G76" s="15">
        <v>-3576.9696969696902</v>
      </c>
      <c r="H76" s="15">
        <f>Table1[[#This Row],[Units Sold]]*Table1[[#This Row],[Selling Price]]</f>
        <v>-1520320.5142332385</v>
      </c>
      <c r="I76" s="15">
        <v>-24348.484848484801</v>
      </c>
      <c r="J76" s="15">
        <f>Table1[[#This Row],[Revenue]]-Table1[[#This Row],[Cost]]</f>
        <v>-1495972.0293847537</v>
      </c>
      <c r="K76" s="19">
        <f>Table1[[#This Row],[Revenue]]/Table1[[#This Row],[Selling Price]]</f>
        <v>425.030303030303</v>
      </c>
      <c r="L76" s="8">
        <f>Table1[[#This Row],[Revenue]]/Table1[[#This Row],[Target sales]]</f>
        <v>-3576.9696969696902</v>
      </c>
    </row>
    <row r="77" spans="1:12" ht="15" thickBot="1" x14ac:dyDescent="0.35">
      <c r="A77" s="7">
        <v>46195</v>
      </c>
      <c r="B77" s="5" t="s">
        <v>38</v>
      </c>
      <c r="C77" s="5" t="s">
        <v>15</v>
      </c>
      <c r="D77" s="5" t="s">
        <v>59</v>
      </c>
      <c r="E77" s="5" t="s">
        <v>14</v>
      </c>
      <c r="F77" s="15">
        <v>430.18181818181802</v>
      </c>
      <c r="G77" s="15">
        <v>-3661.8181818181802</v>
      </c>
      <c r="H77" s="15">
        <f>Table1[[#This Row],[Units Sold]]*Table1[[#This Row],[Selling Price]]</f>
        <v>-1575247.6033057838</v>
      </c>
      <c r="I77" s="15">
        <v>-25290.909090909099</v>
      </c>
      <c r="J77" s="15">
        <f>Table1[[#This Row],[Revenue]]-Table1[[#This Row],[Cost]]</f>
        <v>-1549956.6942148746</v>
      </c>
      <c r="K77" s="19">
        <f>Table1[[#This Row],[Revenue]]/Table1[[#This Row],[Selling Price]]</f>
        <v>430.18181818181802</v>
      </c>
      <c r="L77" s="8">
        <f>Table1[[#This Row],[Revenue]]/Table1[[#This Row],[Target sales]]</f>
        <v>-3661.8181818181802</v>
      </c>
    </row>
    <row r="78" spans="1:12" ht="15" thickBot="1" x14ac:dyDescent="0.35">
      <c r="A78" s="7">
        <v>46228</v>
      </c>
      <c r="B78" s="5" t="s">
        <v>39</v>
      </c>
      <c r="C78" s="5" t="s">
        <v>18</v>
      </c>
      <c r="D78" s="5" t="s">
        <v>60</v>
      </c>
      <c r="E78" s="5" t="s">
        <v>17</v>
      </c>
      <c r="F78" s="15">
        <v>435.33333333333297</v>
      </c>
      <c r="G78" s="15">
        <v>-3746.6666666666601</v>
      </c>
      <c r="H78" s="15">
        <f>Table1[[#This Row],[Units Sold]]*Table1[[#This Row],[Selling Price]]</f>
        <v>-1631048.8888888848</v>
      </c>
      <c r="I78" s="15">
        <v>-26233.333333333299</v>
      </c>
      <c r="J78" s="15">
        <f>Table1[[#This Row],[Revenue]]-Table1[[#This Row],[Cost]]</f>
        <v>-1604815.5555555515</v>
      </c>
      <c r="K78" s="19">
        <f>Table1[[#This Row],[Revenue]]/Table1[[#This Row],[Selling Price]]</f>
        <v>435.33333333333297</v>
      </c>
      <c r="L78" s="8">
        <f>Table1[[#This Row],[Revenue]]/Table1[[#This Row],[Target sales]]</f>
        <v>-3746.6666666666601</v>
      </c>
    </row>
    <row r="79" spans="1:12" ht="15" thickBot="1" x14ac:dyDescent="0.35">
      <c r="A79" s="7">
        <v>46262</v>
      </c>
      <c r="B79" s="5" t="s">
        <v>27</v>
      </c>
      <c r="C79" s="5" t="s">
        <v>21</v>
      </c>
      <c r="D79" s="5" t="s">
        <v>61</v>
      </c>
      <c r="E79" s="5" t="s">
        <v>20</v>
      </c>
      <c r="F79" s="15">
        <v>440.48484848484901</v>
      </c>
      <c r="G79" s="15">
        <v>-3831.5151515151501</v>
      </c>
      <c r="H79" s="15">
        <f>Table1[[#This Row],[Units Sold]]*Table1[[#This Row],[Selling Price]]</f>
        <v>-1687724.3709825543</v>
      </c>
      <c r="I79" s="15">
        <v>-27175.757575757601</v>
      </c>
      <c r="J79" s="15">
        <f>Table1[[#This Row],[Revenue]]-Table1[[#This Row],[Cost]]</f>
        <v>-1660548.6134067967</v>
      </c>
      <c r="K79" s="19">
        <f>Table1[[#This Row],[Revenue]]/Table1[[#This Row],[Selling Price]]</f>
        <v>440.48484848484901</v>
      </c>
      <c r="L79" s="8">
        <f>Table1[[#This Row],[Revenue]]/Table1[[#This Row],[Target sales]]</f>
        <v>-3831.5151515151501</v>
      </c>
    </row>
    <row r="80" spans="1:12" ht="15" thickBot="1" x14ac:dyDescent="0.35">
      <c r="A80" s="7">
        <v>46267</v>
      </c>
      <c r="B80" s="5" t="s">
        <v>54</v>
      </c>
      <c r="C80" s="5" t="s">
        <v>12</v>
      </c>
      <c r="D80" s="5" t="s">
        <v>62</v>
      </c>
      <c r="E80" s="5" t="s">
        <v>14</v>
      </c>
      <c r="F80" s="15">
        <v>445.63636363636402</v>
      </c>
      <c r="G80" s="15">
        <v>-3916.3636363636301</v>
      </c>
      <c r="H80" s="15">
        <f>Table1[[#This Row],[Units Sold]]*Table1[[#This Row],[Selling Price]]</f>
        <v>-1745274.0495867755</v>
      </c>
      <c r="I80" s="15">
        <v>-28118.181818181802</v>
      </c>
      <c r="J80" s="15">
        <f>Table1[[#This Row],[Revenue]]-Table1[[#This Row],[Cost]]</f>
        <v>-1717155.8677685936</v>
      </c>
      <c r="K80" s="19">
        <f>Table1[[#This Row],[Revenue]]/Table1[[#This Row],[Selling Price]]</f>
        <v>445.63636363636397</v>
      </c>
      <c r="L80" s="8">
        <f>Table1[[#This Row],[Revenue]]/Table1[[#This Row],[Target sales]]</f>
        <v>-3916.3636363636306</v>
      </c>
    </row>
    <row r="81" spans="1:12" ht="15" thickBot="1" x14ac:dyDescent="0.35">
      <c r="A81" s="7">
        <v>46300</v>
      </c>
      <c r="B81" s="5" t="s">
        <v>55</v>
      </c>
      <c r="C81" s="5" t="s">
        <v>15</v>
      </c>
      <c r="D81" s="5" t="s">
        <v>63</v>
      </c>
      <c r="E81" s="5" t="s">
        <v>17</v>
      </c>
      <c r="F81" s="15">
        <v>450.78787878787898</v>
      </c>
      <c r="G81" s="15">
        <v>-4001.2121212121201</v>
      </c>
      <c r="H81" s="15">
        <f>Table1[[#This Row],[Units Sold]]*Table1[[#This Row],[Selling Price]]</f>
        <v>-1803697.9247015615</v>
      </c>
      <c r="I81" s="15">
        <v>-29060.606060605998</v>
      </c>
      <c r="J81" s="15">
        <f>Table1[[#This Row],[Revenue]]-Table1[[#This Row],[Cost]]</f>
        <v>-1774637.3186409555</v>
      </c>
      <c r="K81" s="19">
        <f>Table1[[#This Row],[Revenue]]/Table1[[#This Row],[Selling Price]]</f>
        <v>450.78787878787898</v>
      </c>
      <c r="L81" s="8">
        <f>Table1[[#This Row],[Revenue]]/Table1[[#This Row],[Target sales]]</f>
        <v>-4001.2121212121206</v>
      </c>
    </row>
    <row r="82" spans="1:12" ht="15" thickBot="1" x14ac:dyDescent="0.35">
      <c r="A82" s="7">
        <v>46023</v>
      </c>
      <c r="B82" s="5" t="s">
        <v>11</v>
      </c>
      <c r="C82" s="5" t="s">
        <v>12</v>
      </c>
      <c r="D82" s="5" t="s">
        <v>64</v>
      </c>
      <c r="E82" s="5" t="s">
        <v>14</v>
      </c>
      <c r="F82" s="15">
        <v>455.93939393939399</v>
      </c>
      <c r="G82" s="15">
        <v>-4086.0606060606001</v>
      </c>
      <c r="H82" s="15">
        <f>Table1[[#This Row],[Units Sold]]*Table1[[#This Row],[Selling Price]]</f>
        <v>-1862995.9963269029</v>
      </c>
      <c r="I82" s="15">
        <v>-30003.0303030303</v>
      </c>
      <c r="J82" s="15">
        <f>Table1[[#This Row],[Revenue]]-Table1[[#This Row],[Cost]]</f>
        <v>-1832992.9660238726</v>
      </c>
      <c r="K82" s="19">
        <f>Table1[[#This Row],[Revenue]]/Table1[[#This Row],[Selling Price]]</f>
        <v>455.93939393939399</v>
      </c>
      <c r="L82" s="8">
        <f>Table1[[#This Row],[Revenue]]/Table1[[#This Row],[Target sales]]</f>
        <v>-4086.0606060606001</v>
      </c>
    </row>
    <row r="83" spans="1:12" ht="15" thickBot="1" x14ac:dyDescent="0.35">
      <c r="A83" s="7">
        <v>46058</v>
      </c>
      <c r="B83" s="5" t="s">
        <v>23</v>
      </c>
      <c r="C83" s="5" t="s">
        <v>15</v>
      </c>
      <c r="D83" s="5" t="s">
        <v>65</v>
      </c>
      <c r="E83" s="5" t="s">
        <v>17</v>
      </c>
      <c r="F83" s="15">
        <v>461.09090909090901</v>
      </c>
      <c r="G83" s="15">
        <v>-4170.9090909090901</v>
      </c>
      <c r="H83" s="15">
        <f>Table1[[#This Row],[Units Sold]]*Table1[[#This Row],[Selling Price]]</f>
        <v>-1923168.2644628091</v>
      </c>
      <c r="I83" s="15">
        <v>-30945.4545454545</v>
      </c>
      <c r="J83" s="15">
        <f>Table1[[#This Row],[Revenue]]-Table1[[#This Row],[Cost]]</f>
        <v>-1892222.8099173545</v>
      </c>
      <c r="K83" s="19">
        <f>Table1[[#This Row],[Revenue]]/Table1[[#This Row],[Selling Price]]</f>
        <v>461.09090909090901</v>
      </c>
      <c r="L83" s="8">
        <f>Table1[[#This Row],[Revenue]]/Table1[[#This Row],[Target sales]]</f>
        <v>-4170.9090909090901</v>
      </c>
    </row>
    <row r="84" spans="1:12" ht="15" thickBot="1" x14ac:dyDescent="0.35">
      <c r="A84" s="7">
        <v>46091</v>
      </c>
      <c r="B84" s="5" t="s">
        <v>56</v>
      </c>
      <c r="C84" s="5" t="s">
        <v>18</v>
      </c>
      <c r="D84" s="5" t="s">
        <v>66</v>
      </c>
      <c r="E84" s="5" t="s">
        <v>20</v>
      </c>
      <c r="F84" s="15">
        <v>466.24242424242402</v>
      </c>
      <c r="G84" s="15">
        <v>-4255.7575757575696</v>
      </c>
      <c r="H84" s="15">
        <f>Table1[[#This Row],[Units Sold]]*Table1[[#This Row],[Selling Price]]</f>
        <v>-1984214.7291092707</v>
      </c>
      <c r="I84" s="15">
        <v>-31887.878787878799</v>
      </c>
      <c r="J84" s="15">
        <f>Table1[[#This Row],[Revenue]]-Table1[[#This Row],[Cost]]</f>
        <v>-1952326.8503213918</v>
      </c>
      <c r="K84" s="19">
        <f>Table1[[#This Row],[Revenue]]/Table1[[#This Row],[Selling Price]]</f>
        <v>466.24242424242402</v>
      </c>
      <c r="L84" s="8">
        <f>Table1[[#This Row],[Revenue]]/Table1[[#This Row],[Target sales]]</f>
        <v>-4255.7575757575696</v>
      </c>
    </row>
    <row r="85" spans="1:12" ht="15" thickBot="1" x14ac:dyDescent="0.35">
      <c r="A85" s="7">
        <v>46127</v>
      </c>
      <c r="B85" s="5" t="s">
        <v>46</v>
      </c>
      <c r="C85" s="5" t="s">
        <v>21</v>
      </c>
      <c r="D85" s="5" t="s">
        <v>67</v>
      </c>
      <c r="E85" s="5" t="s">
        <v>14</v>
      </c>
      <c r="F85" s="15">
        <v>471.39393939394</v>
      </c>
      <c r="G85" s="15">
        <v>-4340.6060606060601</v>
      </c>
      <c r="H85" s="15">
        <f>Table1[[#This Row],[Units Sold]]*Table1[[#This Row],[Selling Price]]</f>
        <v>-2046135.3902663018</v>
      </c>
      <c r="I85" s="15">
        <v>-32830.303030303003</v>
      </c>
      <c r="J85" s="15">
        <f>Table1[[#This Row],[Revenue]]-Table1[[#This Row],[Cost]]</f>
        <v>-2013305.0872359988</v>
      </c>
      <c r="K85" s="19">
        <f>Table1[[#This Row],[Revenue]]/Table1[[#This Row],[Selling Price]]</f>
        <v>471.39393939394</v>
      </c>
      <c r="L85" s="8">
        <f>Table1[[#This Row],[Revenue]]/Table1[[#This Row],[Target sales]]</f>
        <v>-4340.6060606060601</v>
      </c>
    </row>
    <row r="86" spans="1:12" ht="15" thickBot="1" x14ac:dyDescent="0.35">
      <c r="A86" s="7">
        <v>46162</v>
      </c>
      <c r="B86" s="5" t="s">
        <v>47</v>
      </c>
      <c r="C86" s="5" t="s">
        <v>12</v>
      </c>
      <c r="D86" s="5" t="s">
        <v>13</v>
      </c>
      <c r="E86" s="5" t="s">
        <v>20</v>
      </c>
      <c r="F86" s="15">
        <v>476.54545454545502</v>
      </c>
      <c r="G86" s="15">
        <v>-4425.4545454545396</v>
      </c>
      <c r="H86" s="15">
        <f>Table1[[#This Row],[Units Sold]]*Table1[[#This Row],[Selling Price]]</f>
        <v>-2108930.2479338837</v>
      </c>
      <c r="I86" s="15">
        <v>-33772.727272727301</v>
      </c>
      <c r="J86" s="15">
        <f>Table1[[#This Row],[Revenue]]-Table1[[#This Row],[Cost]]</f>
        <v>-2075157.5206611564</v>
      </c>
      <c r="K86" s="19">
        <f>Table1[[#This Row],[Revenue]]/Table1[[#This Row],[Selling Price]]</f>
        <v>476.54545454545502</v>
      </c>
      <c r="L86" s="8">
        <f>Table1[[#This Row],[Revenue]]/Table1[[#This Row],[Target sales]]</f>
        <v>-4425.4545454545396</v>
      </c>
    </row>
    <row r="87" spans="1:12" ht="15" thickBot="1" x14ac:dyDescent="0.35">
      <c r="A87" s="7">
        <v>46195</v>
      </c>
      <c r="B87" s="5" t="s">
        <v>48</v>
      </c>
      <c r="C87" s="5" t="s">
        <v>15</v>
      </c>
      <c r="D87" s="5" t="s">
        <v>16</v>
      </c>
      <c r="E87" s="5" t="s">
        <v>14</v>
      </c>
      <c r="F87" s="15">
        <v>481.69696969696997</v>
      </c>
      <c r="G87" s="15">
        <v>-4510.30303030303</v>
      </c>
      <c r="H87" s="15">
        <f>Table1[[#This Row],[Units Sold]]*Table1[[#This Row],[Selling Price]]</f>
        <v>-2172599.3021120303</v>
      </c>
      <c r="I87" s="15">
        <v>-34715.151515151498</v>
      </c>
      <c r="J87" s="15">
        <f>Table1[[#This Row],[Revenue]]-Table1[[#This Row],[Cost]]</f>
        <v>-2137884.150596879</v>
      </c>
      <c r="K87" s="19">
        <f>Table1[[#This Row],[Revenue]]/Table1[[#This Row],[Selling Price]]</f>
        <v>481.69696969696992</v>
      </c>
      <c r="L87" s="8">
        <f>Table1[[#This Row],[Revenue]]/Table1[[#This Row],[Target sales]]</f>
        <v>-4510.30303030303</v>
      </c>
    </row>
    <row r="88" spans="1:12" ht="15" thickBot="1" x14ac:dyDescent="0.35">
      <c r="A88" s="7">
        <v>46228</v>
      </c>
      <c r="B88" s="5" t="s">
        <v>49</v>
      </c>
      <c r="C88" s="5" t="s">
        <v>18</v>
      </c>
      <c r="D88" s="5" t="s">
        <v>19</v>
      </c>
      <c r="E88" s="5" t="s">
        <v>17</v>
      </c>
      <c r="F88" s="15">
        <v>486.84848484848499</v>
      </c>
      <c r="G88" s="15">
        <v>-4595.1515151515096</v>
      </c>
      <c r="H88" s="15">
        <f>Table1[[#This Row],[Units Sold]]*Table1[[#This Row],[Selling Price]]</f>
        <v>-2237142.5528007327</v>
      </c>
      <c r="I88" s="15">
        <v>-35657.575757575702</v>
      </c>
      <c r="J88" s="15">
        <f>Table1[[#This Row],[Revenue]]-Table1[[#This Row],[Cost]]</f>
        <v>-2201484.977043157</v>
      </c>
      <c r="K88" s="19">
        <f>Table1[[#This Row],[Revenue]]/Table1[[#This Row],[Selling Price]]</f>
        <v>486.84848484848504</v>
      </c>
      <c r="L88" s="8">
        <f>Table1[[#This Row],[Revenue]]/Table1[[#This Row],[Target sales]]</f>
        <v>-4595.1515151515096</v>
      </c>
    </row>
    <row r="89" spans="1:12" ht="15" thickBot="1" x14ac:dyDescent="0.35">
      <c r="A89" s="7">
        <v>46262</v>
      </c>
      <c r="B89" s="5" t="s">
        <v>30</v>
      </c>
      <c r="C89" s="5" t="s">
        <v>21</v>
      </c>
      <c r="D89" s="5" t="s">
        <v>22</v>
      </c>
      <c r="E89" s="5" t="s">
        <v>20</v>
      </c>
      <c r="F89" s="15">
        <v>492</v>
      </c>
      <c r="G89" s="15">
        <v>-4680</v>
      </c>
      <c r="H89" s="15">
        <f>Table1[[#This Row],[Units Sold]]*Table1[[#This Row],[Selling Price]]</f>
        <v>-2302560</v>
      </c>
      <c r="I89" s="15">
        <v>-36600</v>
      </c>
      <c r="J89" s="15">
        <f>Table1[[#This Row],[Revenue]]-Table1[[#This Row],[Cost]]</f>
        <v>-2265960</v>
      </c>
      <c r="K89" s="19">
        <f>Table1[[#This Row],[Revenue]]/Table1[[#This Row],[Selling Price]]</f>
        <v>492</v>
      </c>
      <c r="L89" s="8">
        <f>Table1[[#This Row],[Revenue]]/Table1[[#This Row],[Target sales]]</f>
        <v>-4680</v>
      </c>
    </row>
    <row r="90" spans="1:12" ht="15" thickBot="1" x14ac:dyDescent="0.35">
      <c r="A90" s="7">
        <v>46267</v>
      </c>
      <c r="B90" s="5" t="s">
        <v>31</v>
      </c>
      <c r="C90" s="5" t="s">
        <v>12</v>
      </c>
      <c r="D90" s="5" t="s">
        <v>58</v>
      </c>
      <c r="E90" s="5" t="s">
        <v>14</v>
      </c>
      <c r="F90" s="15">
        <v>497.15151515151501</v>
      </c>
      <c r="G90" s="15">
        <v>-4764.8484848484804</v>
      </c>
      <c r="H90" s="15">
        <f>Table1[[#This Row],[Units Sold]]*Table1[[#This Row],[Selling Price]]</f>
        <v>-2368851.6437098226</v>
      </c>
      <c r="I90" s="15">
        <v>-37542.424242424197</v>
      </c>
      <c r="J90" s="15">
        <f>Table1[[#This Row],[Revenue]]-Table1[[#This Row],[Cost]]</f>
        <v>-2331309.2194673982</v>
      </c>
      <c r="K90" s="19">
        <f>Table1[[#This Row],[Revenue]]/Table1[[#This Row],[Selling Price]]</f>
        <v>497.15151515151501</v>
      </c>
      <c r="L90" s="8">
        <f>Table1[[#This Row],[Revenue]]/Table1[[#This Row],[Target sales]]</f>
        <v>-4764.8484848484804</v>
      </c>
    </row>
    <row r="91" spans="1:12" ht="15" thickBot="1" x14ac:dyDescent="0.35">
      <c r="A91" s="7">
        <v>46300</v>
      </c>
      <c r="B91" s="5" t="s">
        <v>32</v>
      </c>
      <c r="C91" s="5" t="s">
        <v>15</v>
      </c>
      <c r="D91" s="5" t="s">
        <v>59</v>
      </c>
      <c r="E91" s="5" t="s">
        <v>17</v>
      </c>
      <c r="F91" s="15">
        <v>502.30303030303003</v>
      </c>
      <c r="G91" s="15">
        <v>-4849.69696969697</v>
      </c>
      <c r="H91" s="15">
        <f>Table1[[#This Row],[Units Sold]]*Table1[[#This Row],[Selling Price]]</f>
        <v>-2436017.4839302101</v>
      </c>
      <c r="I91" s="15">
        <v>-38484.848484848502</v>
      </c>
      <c r="J91" s="15">
        <f>Table1[[#This Row],[Revenue]]-Table1[[#This Row],[Cost]]</f>
        <v>-2397532.6354453615</v>
      </c>
      <c r="K91" s="19">
        <f>Table1[[#This Row],[Revenue]]/Table1[[#This Row],[Selling Price]]</f>
        <v>502.30303030303003</v>
      </c>
      <c r="L91" s="8">
        <f>Table1[[#This Row],[Revenue]]/Table1[[#This Row],[Target sales]]</f>
        <v>-4849.69696969697</v>
      </c>
    </row>
    <row r="92" spans="1:12" ht="15" thickBot="1" x14ac:dyDescent="0.35">
      <c r="A92" s="7">
        <v>46023</v>
      </c>
      <c r="B92" s="5" t="s">
        <v>33</v>
      </c>
      <c r="C92" s="5" t="s">
        <v>12</v>
      </c>
      <c r="D92" s="5" t="s">
        <v>60</v>
      </c>
      <c r="E92" s="5" t="s">
        <v>14</v>
      </c>
      <c r="F92" s="15">
        <v>507.45454545454601</v>
      </c>
      <c r="G92" s="15">
        <v>-4934.5454545454504</v>
      </c>
      <c r="H92" s="15">
        <f>Table1[[#This Row],[Units Sold]]*Table1[[#This Row],[Selling Price]]</f>
        <v>-2504057.5206611576</v>
      </c>
      <c r="I92" s="15">
        <v>-39427.272727272699</v>
      </c>
      <c r="J92" s="15">
        <f>Table1[[#This Row],[Revenue]]-Table1[[#This Row],[Cost]]</f>
        <v>-2464630.2479338851</v>
      </c>
      <c r="K92" s="19">
        <f>Table1[[#This Row],[Revenue]]/Table1[[#This Row],[Selling Price]]</f>
        <v>507.45454545454601</v>
      </c>
      <c r="L92" s="8">
        <f>Table1[[#This Row],[Revenue]]/Table1[[#This Row],[Target sales]]</f>
        <v>-4934.5454545454504</v>
      </c>
    </row>
    <row r="93" spans="1:12" ht="15" thickBot="1" x14ac:dyDescent="0.35">
      <c r="A93" s="7">
        <v>46058</v>
      </c>
      <c r="B93" s="5" t="s">
        <v>34</v>
      </c>
      <c r="C93" s="5" t="s">
        <v>15</v>
      </c>
      <c r="D93" s="5" t="s">
        <v>61</v>
      </c>
      <c r="E93" s="5" t="s">
        <v>17</v>
      </c>
      <c r="F93" s="15">
        <v>512.60606060606096</v>
      </c>
      <c r="G93" s="15">
        <v>-5019.3939393939399</v>
      </c>
      <c r="H93" s="15">
        <f>Table1[[#This Row],[Units Sold]]*Table1[[#This Row],[Selling Price]]</f>
        <v>-2572971.7539026649</v>
      </c>
      <c r="I93" s="15">
        <v>-40369.696969696903</v>
      </c>
      <c r="J93" s="15">
        <f>Table1[[#This Row],[Revenue]]-Table1[[#This Row],[Cost]]</f>
        <v>-2532602.0569329681</v>
      </c>
      <c r="K93" s="19">
        <f>Table1[[#This Row],[Revenue]]/Table1[[#This Row],[Selling Price]]</f>
        <v>512.60606060606096</v>
      </c>
      <c r="L93" s="8">
        <f>Table1[[#This Row],[Revenue]]/Table1[[#This Row],[Target sales]]</f>
        <v>-5019.3939393939399</v>
      </c>
    </row>
    <row r="94" spans="1:12" ht="15" thickBot="1" x14ac:dyDescent="0.35">
      <c r="A94" s="7">
        <v>46091</v>
      </c>
      <c r="B94" s="5" t="s">
        <v>35</v>
      </c>
      <c r="C94" s="5" t="s">
        <v>18</v>
      </c>
      <c r="D94" s="5" t="s">
        <v>62</v>
      </c>
      <c r="E94" s="5" t="s">
        <v>20</v>
      </c>
      <c r="F94" s="15">
        <v>517.75757575757598</v>
      </c>
      <c r="G94" s="15">
        <v>-5104.2424242424204</v>
      </c>
      <c r="H94" s="15">
        <f>Table1[[#This Row],[Units Sold]]*Table1[[#This Row],[Selling Price]]</f>
        <v>-2642760.1836547283</v>
      </c>
      <c r="I94" s="15">
        <v>-41312.121212121201</v>
      </c>
      <c r="J94" s="15">
        <f>Table1[[#This Row],[Revenue]]-Table1[[#This Row],[Cost]]</f>
        <v>-2601448.0624426072</v>
      </c>
      <c r="K94" s="19">
        <f>Table1[[#This Row],[Revenue]]/Table1[[#This Row],[Selling Price]]</f>
        <v>517.75757575757598</v>
      </c>
      <c r="L94" s="8">
        <f>Table1[[#This Row],[Revenue]]/Table1[[#This Row],[Target sales]]</f>
        <v>-5104.2424242424204</v>
      </c>
    </row>
    <row r="95" spans="1:12" ht="15" thickBot="1" x14ac:dyDescent="0.35">
      <c r="A95" s="7">
        <v>46127</v>
      </c>
      <c r="B95" s="5" t="s">
        <v>26</v>
      </c>
      <c r="C95" s="5" t="s">
        <v>21</v>
      </c>
      <c r="D95" s="5" t="s">
        <v>63</v>
      </c>
      <c r="E95" s="5" t="s">
        <v>14</v>
      </c>
      <c r="F95" s="15">
        <v>522.90909090909099</v>
      </c>
      <c r="G95" s="15">
        <v>-5189.0909090909099</v>
      </c>
      <c r="H95" s="15">
        <f>Table1[[#This Row],[Units Sold]]*Table1[[#This Row],[Selling Price]]</f>
        <v>-2713422.8099173564</v>
      </c>
      <c r="I95" s="15">
        <v>-42254.545454545398</v>
      </c>
      <c r="J95" s="15">
        <f>Table1[[#This Row],[Revenue]]-Table1[[#This Row],[Cost]]</f>
        <v>-2671168.2644628109</v>
      </c>
      <c r="K95" s="19">
        <f>Table1[[#This Row],[Revenue]]/Table1[[#This Row],[Selling Price]]</f>
        <v>522.90909090909099</v>
      </c>
      <c r="L95" s="8">
        <f>Table1[[#This Row],[Revenue]]/Table1[[#This Row],[Target sales]]</f>
        <v>-5189.0909090909099</v>
      </c>
    </row>
    <row r="96" spans="1:12" ht="15" thickBot="1" x14ac:dyDescent="0.35">
      <c r="A96" s="7">
        <v>46162</v>
      </c>
      <c r="B96" s="5" t="s">
        <v>27</v>
      </c>
      <c r="C96" s="5" t="s">
        <v>12</v>
      </c>
      <c r="D96" s="5" t="s">
        <v>64</v>
      </c>
      <c r="E96" s="5" t="s">
        <v>20</v>
      </c>
      <c r="F96" s="15">
        <v>528.06060606060601</v>
      </c>
      <c r="G96" s="15">
        <v>-5273.9393939393904</v>
      </c>
      <c r="H96" s="15">
        <f>Table1[[#This Row],[Units Sold]]*Table1[[#This Row],[Selling Price]]</f>
        <v>-2784959.6326905396</v>
      </c>
      <c r="I96" s="15">
        <v>-43196.969696969703</v>
      </c>
      <c r="J96" s="15">
        <f>Table1[[#This Row],[Revenue]]-Table1[[#This Row],[Cost]]</f>
        <v>-2741762.6629935699</v>
      </c>
      <c r="K96" s="19">
        <f>Table1[[#This Row],[Revenue]]/Table1[[#This Row],[Selling Price]]</f>
        <v>528.06060606060601</v>
      </c>
      <c r="L96" s="8">
        <f>Table1[[#This Row],[Revenue]]/Table1[[#This Row],[Target sales]]</f>
        <v>-5273.9393939393904</v>
      </c>
    </row>
    <row r="97" spans="1:12" ht="15" thickBot="1" x14ac:dyDescent="0.35">
      <c r="A97" s="7">
        <v>46195</v>
      </c>
      <c r="B97" s="5" t="s">
        <v>28</v>
      </c>
      <c r="C97" s="5" t="s">
        <v>15</v>
      </c>
      <c r="D97" s="5" t="s">
        <v>65</v>
      </c>
      <c r="E97" s="5" t="s">
        <v>14</v>
      </c>
      <c r="F97" s="15">
        <v>533.21212121212102</v>
      </c>
      <c r="G97" s="15">
        <v>-5358.7878787878699</v>
      </c>
      <c r="H97" s="15">
        <f>Table1[[#This Row],[Units Sold]]*Table1[[#This Row],[Selling Price]]</f>
        <v>-2857370.6519742827</v>
      </c>
      <c r="I97" s="15">
        <v>-44139.3939393939</v>
      </c>
      <c r="J97" s="15">
        <f>Table1[[#This Row],[Revenue]]-Table1[[#This Row],[Cost]]</f>
        <v>-2813231.2580348887</v>
      </c>
      <c r="K97" s="19">
        <f>Table1[[#This Row],[Revenue]]/Table1[[#This Row],[Selling Price]]</f>
        <v>533.21212121212102</v>
      </c>
      <c r="L97" s="8">
        <f>Table1[[#This Row],[Revenue]]/Table1[[#This Row],[Target sales]]</f>
        <v>-5358.7878787878699</v>
      </c>
    </row>
    <row r="98" spans="1:12" ht="15" thickBot="1" x14ac:dyDescent="0.35">
      <c r="A98" s="7">
        <v>46228</v>
      </c>
      <c r="B98" s="5" t="s">
        <v>29</v>
      </c>
      <c r="C98" s="5" t="s">
        <v>18</v>
      </c>
      <c r="D98" s="5" t="s">
        <v>66</v>
      </c>
      <c r="E98" s="5" t="s">
        <v>17</v>
      </c>
      <c r="F98" s="15">
        <v>538.36363636363603</v>
      </c>
      <c r="G98" s="15">
        <v>-5443.6363636363603</v>
      </c>
      <c r="H98" s="15">
        <f>Table1[[#This Row],[Units Sold]]*Table1[[#This Row],[Selling Price]]</f>
        <v>-2930655.8677685913</v>
      </c>
      <c r="I98" s="15">
        <v>-45081.818181818198</v>
      </c>
      <c r="J98" s="15">
        <f>Table1[[#This Row],[Revenue]]-Table1[[#This Row],[Cost]]</f>
        <v>-2885574.0495867729</v>
      </c>
      <c r="K98" s="19">
        <f>Table1[[#This Row],[Revenue]]/Table1[[#This Row],[Selling Price]]</f>
        <v>538.36363636363603</v>
      </c>
      <c r="L98" s="8">
        <f>Table1[[#This Row],[Revenue]]/Table1[[#This Row],[Target sales]]</f>
        <v>-5443.6363636363603</v>
      </c>
    </row>
    <row r="99" spans="1:12" ht="15" thickBot="1" x14ac:dyDescent="0.35">
      <c r="A99" s="7">
        <v>46262</v>
      </c>
      <c r="B99" s="5" t="s">
        <v>40</v>
      </c>
      <c r="C99" s="5" t="s">
        <v>21</v>
      </c>
      <c r="D99" s="5" t="s">
        <v>67</v>
      </c>
      <c r="E99" s="5" t="s">
        <v>20</v>
      </c>
      <c r="F99" s="15">
        <v>543.51515151515196</v>
      </c>
      <c r="G99" s="15">
        <v>-5528.4848484848399</v>
      </c>
      <c r="H99" s="15">
        <f>Table1[[#This Row],[Units Sold]]*Table1[[#This Row],[Selling Price]]</f>
        <v>-3004815.2800734597</v>
      </c>
      <c r="I99" s="15">
        <v>-46024.242424242402</v>
      </c>
      <c r="J99" s="15">
        <f>Table1[[#This Row],[Revenue]]-Table1[[#This Row],[Cost]]</f>
        <v>-2958791.0376492175</v>
      </c>
      <c r="K99" s="19">
        <f>Table1[[#This Row],[Revenue]]/Table1[[#This Row],[Selling Price]]</f>
        <v>543.51515151515196</v>
      </c>
      <c r="L99" s="8">
        <f>Table1[[#This Row],[Revenue]]/Table1[[#This Row],[Target sales]]</f>
        <v>-5528.4848484848399</v>
      </c>
    </row>
    <row r="100" spans="1:12" ht="15" thickBot="1" x14ac:dyDescent="0.35">
      <c r="A100" s="7">
        <v>46267</v>
      </c>
      <c r="B100" s="5" t="s">
        <v>41</v>
      </c>
      <c r="C100" s="5" t="s">
        <v>12</v>
      </c>
      <c r="D100" s="5" t="s">
        <v>13</v>
      </c>
      <c r="E100" s="5" t="s">
        <v>14</v>
      </c>
      <c r="F100" s="15">
        <v>548.66666666666697</v>
      </c>
      <c r="G100" s="15">
        <v>-5613.3333333333303</v>
      </c>
      <c r="H100" s="15">
        <f>Table1[[#This Row],[Units Sold]]*Table1[[#This Row],[Selling Price]]</f>
        <v>-3079848.888888889</v>
      </c>
      <c r="I100" s="15">
        <v>-46966.666666666599</v>
      </c>
      <c r="J100" s="15">
        <f>Table1[[#This Row],[Revenue]]-Table1[[#This Row],[Cost]]</f>
        <v>-3032882.2222222225</v>
      </c>
      <c r="K100" s="19">
        <f>Table1[[#This Row],[Revenue]]/Table1[[#This Row],[Selling Price]]</f>
        <v>548.66666666666697</v>
      </c>
      <c r="L100" s="8">
        <f>Table1[[#This Row],[Revenue]]/Table1[[#This Row],[Target sales]]</f>
        <v>-5613.3333333333303</v>
      </c>
    </row>
    <row r="101" spans="1:12" ht="15" thickBot="1" x14ac:dyDescent="0.35">
      <c r="A101" s="12">
        <v>46300</v>
      </c>
      <c r="B101" s="13" t="s">
        <v>42</v>
      </c>
      <c r="C101" s="13" t="s">
        <v>15</v>
      </c>
      <c r="D101" s="5" t="s">
        <v>16</v>
      </c>
      <c r="E101" s="13" t="s">
        <v>17</v>
      </c>
      <c r="F101" s="16">
        <v>553.81818181818198</v>
      </c>
      <c r="G101" s="16">
        <v>-5698.1818181818098</v>
      </c>
      <c r="H101" s="15">
        <f>Table1[[#This Row],[Units Sold]]*Table1[[#This Row],[Selling Price]]</f>
        <v>-3155756.6942148726</v>
      </c>
      <c r="I101" s="16">
        <v>-47909.090909090897</v>
      </c>
      <c r="J101" s="15">
        <f>Table1[[#This Row],[Revenue]]-Table1[[#This Row],[Cost]]</f>
        <v>-3107847.6033057817</v>
      </c>
      <c r="K101" s="19">
        <f>Table1[[#This Row],[Revenue]]/Table1[[#This Row],[Selling Price]]</f>
        <v>553.81818181818198</v>
      </c>
      <c r="L101" s="8">
        <f>Table1[[#This Row],[Revenue]]/Table1[[#This Row],[Target sales]]</f>
        <v>-5698.1818181818098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B222B-2B74-40C3-AD15-B0BDDAB9896C}">
  <dimension ref="A3:D34"/>
  <sheetViews>
    <sheetView topLeftCell="A3" workbookViewId="0">
      <selection activeCell="A19" sqref="A19"/>
    </sheetView>
  </sheetViews>
  <sheetFormatPr defaultRowHeight="14.4" x14ac:dyDescent="0.3"/>
  <cols>
    <col min="1" max="1" width="18.33203125" bestFit="1" customWidth="1"/>
    <col min="2" max="2" width="14.88671875" bestFit="1" customWidth="1"/>
    <col min="3" max="3" width="18.33203125" bestFit="1" customWidth="1"/>
    <col min="4" max="4" width="14.88671875" bestFit="1" customWidth="1"/>
  </cols>
  <sheetData>
    <row r="3" spans="1:4" x14ac:dyDescent="0.3">
      <c r="A3" s="21" t="s">
        <v>71</v>
      </c>
      <c r="B3" t="s">
        <v>70</v>
      </c>
    </row>
    <row r="4" spans="1:4" x14ac:dyDescent="0.3">
      <c r="A4" s="22" t="s">
        <v>21</v>
      </c>
      <c r="B4">
        <v>-10467160.991735538</v>
      </c>
    </row>
    <row r="5" spans="1:4" x14ac:dyDescent="0.3">
      <c r="A5" s="22" t="s">
        <v>12</v>
      </c>
      <c r="B5">
        <v>-16507276.951331485</v>
      </c>
    </row>
    <row r="6" spans="1:4" x14ac:dyDescent="0.3">
      <c r="A6" s="22" t="s">
        <v>18</v>
      </c>
      <c r="B6">
        <v>-10993983.140495852</v>
      </c>
      <c r="C6">
        <f>GETPIVOTDATA("Revenue",Processing!$A$3)</f>
        <v>-37968421.083562873</v>
      </c>
    </row>
    <row r="7" spans="1:4" x14ac:dyDescent="0.3">
      <c r="A7" s="22" t="s">
        <v>69</v>
      </c>
      <c r="B7">
        <v>-37968421.083562873</v>
      </c>
    </row>
    <row r="11" spans="1:4" x14ac:dyDescent="0.3">
      <c r="C11" s="21" t="s">
        <v>71</v>
      </c>
      <c r="D11" t="s">
        <v>70</v>
      </c>
    </row>
    <row r="12" spans="1:4" x14ac:dyDescent="0.3">
      <c r="C12" s="22" t="s">
        <v>47</v>
      </c>
      <c r="D12">
        <v>-2602856.8595041302</v>
      </c>
    </row>
    <row r="13" spans="1:4" x14ac:dyDescent="0.3">
      <c r="C13" s="22" t="s">
        <v>11</v>
      </c>
      <c r="D13">
        <v>-1975942.4058769478</v>
      </c>
    </row>
    <row r="14" spans="1:4" x14ac:dyDescent="0.3">
      <c r="C14" s="22" t="s">
        <v>24</v>
      </c>
      <c r="D14">
        <v>-1085149.3847566561</v>
      </c>
    </row>
    <row r="15" spans="1:4" x14ac:dyDescent="0.3">
      <c r="C15" s="22" t="s">
        <v>25</v>
      </c>
      <c r="D15">
        <v>-3281241.1019283691</v>
      </c>
    </row>
    <row r="16" spans="1:4" x14ac:dyDescent="0.3">
      <c r="C16" s="22" t="s">
        <v>33</v>
      </c>
      <c r="D16">
        <v>-2791702.4058769532</v>
      </c>
    </row>
    <row r="17" spans="1:4" x14ac:dyDescent="0.3">
      <c r="C17" s="22" t="s">
        <v>26</v>
      </c>
      <c r="D17">
        <v>-3618235.3719008276</v>
      </c>
    </row>
    <row r="18" spans="1:4" x14ac:dyDescent="0.3">
      <c r="C18" s="22" t="s">
        <v>27</v>
      </c>
      <c r="D18">
        <v>-5589470.8907254357</v>
      </c>
    </row>
    <row r="19" spans="1:4" x14ac:dyDescent="0.3">
      <c r="A19" s="21" t="s">
        <v>72</v>
      </c>
      <c r="B19" t="s">
        <v>73</v>
      </c>
      <c r="C19" s="22" t="s">
        <v>29</v>
      </c>
      <c r="D19">
        <v>-4063901.4876033016</v>
      </c>
    </row>
    <row r="20" spans="1:4" x14ac:dyDescent="0.3">
      <c r="A20" s="22" t="s">
        <v>13</v>
      </c>
      <c r="B20" s="1">
        <v>-449.45454545454334</v>
      </c>
      <c r="C20" s="22" t="s">
        <v>57</v>
      </c>
      <c r="D20">
        <v>-1480323.5261707979</v>
      </c>
    </row>
    <row r="21" spans="1:4" x14ac:dyDescent="0.3">
      <c r="A21" s="22" t="s">
        <v>61</v>
      </c>
      <c r="B21" s="1">
        <v>-1658.3838383838367</v>
      </c>
      <c r="C21" s="22" t="s">
        <v>37</v>
      </c>
      <c r="D21">
        <v>-1623804.5179063338</v>
      </c>
    </row>
    <row r="22" spans="1:4" x14ac:dyDescent="0.3">
      <c r="A22" s="22" t="s">
        <v>59</v>
      </c>
      <c r="B22" s="1">
        <v>-98.1818181818185</v>
      </c>
      <c r="C22" s="22" t="s">
        <v>39</v>
      </c>
      <c r="D22">
        <v>-1798634.2699724487</v>
      </c>
    </row>
    <row r="23" spans="1:4" x14ac:dyDescent="0.3">
      <c r="A23" s="22" t="s">
        <v>65</v>
      </c>
      <c r="B23" s="1">
        <v>-2389.0909090909049</v>
      </c>
      <c r="C23" s="22" t="s">
        <v>46</v>
      </c>
      <c r="D23">
        <v>-2493149.9724517916</v>
      </c>
    </row>
    <row r="24" spans="1:4" x14ac:dyDescent="0.3">
      <c r="A24" s="22" t="s">
        <v>67</v>
      </c>
      <c r="B24" s="1">
        <v>-776.96969696969643</v>
      </c>
      <c r="C24" s="22" t="s">
        <v>35</v>
      </c>
      <c r="D24">
        <v>-4868437.4655647352</v>
      </c>
    </row>
    <row r="25" spans="1:4" x14ac:dyDescent="0.3">
      <c r="A25" s="22" t="s">
        <v>22</v>
      </c>
      <c r="B25" s="1">
        <v>503.9393939393949</v>
      </c>
      <c r="C25" s="22" t="s">
        <v>43</v>
      </c>
      <c r="D25">
        <v>-695571.42332415166</v>
      </c>
    </row>
    <row r="26" spans="1:4" x14ac:dyDescent="0.3">
      <c r="A26" s="22" t="s">
        <v>19</v>
      </c>
      <c r="B26" s="1">
        <v>937.57575757575671</v>
      </c>
      <c r="C26" s="22" t="s">
        <v>69</v>
      </c>
      <c r="D26">
        <v>-37968421.083562881</v>
      </c>
    </row>
    <row r="27" spans="1:4" x14ac:dyDescent="0.3">
      <c r="A27" s="22" t="s">
        <v>64</v>
      </c>
      <c r="B27" s="1">
        <v>-1710.3030303030282</v>
      </c>
    </row>
    <row r="28" spans="1:4" x14ac:dyDescent="0.3">
      <c r="A28" s="22" t="s">
        <v>60</v>
      </c>
      <c r="B28" s="1">
        <v>-1511.8787878787857</v>
      </c>
    </row>
    <row r="29" spans="1:4" x14ac:dyDescent="0.3">
      <c r="A29" s="22" t="s">
        <v>66</v>
      </c>
      <c r="B29" s="1">
        <v>-2275.9595959595949</v>
      </c>
    </row>
    <row r="30" spans="1:4" x14ac:dyDescent="0.3">
      <c r="A30" s="22" t="s">
        <v>62</v>
      </c>
      <c r="B30" s="1">
        <v>-2728.4848484848458</v>
      </c>
    </row>
    <row r="31" spans="1:4" x14ac:dyDescent="0.3">
      <c r="A31" s="22" t="s">
        <v>16</v>
      </c>
      <c r="B31" s="1">
        <v>-946.66666666666799</v>
      </c>
    </row>
    <row r="32" spans="1:4" x14ac:dyDescent="0.3">
      <c r="A32" s="22" t="s">
        <v>58</v>
      </c>
      <c r="B32" s="1">
        <v>-1041.8181818181802</v>
      </c>
    </row>
    <row r="33" spans="1:2" x14ac:dyDescent="0.3">
      <c r="A33" s="22" t="s">
        <v>63</v>
      </c>
      <c r="B33" s="1">
        <v>-1625.4545454545453</v>
      </c>
    </row>
    <row r="34" spans="1:2" x14ac:dyDescent="0.3">
      <c r="A34" s="22" t="s">
        <v>69</v>
      </c>
      <c r="B34" s="1">
        <v>-1348.5818181818167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C0CE8-3401-4FD3-A2F8-33BB57126610}">
  <dimension ref="A1:AC475"/>
  <sheetViews>
    <sheetView showGridLines="0" tabSelected="1" topLeftCell="A2" zoomScale="80" workbookViewId="0">
      <selection activeCell="Q33" sqref="Q33"/>
    </sheetView>
  </sheetViews>
  <sheetFormatPr defaultRowHeight="14.4" x14ac:dyDescent="0.3"/>
  <sheetData>
    <row r="1" spans="1:29" s="25" customFormat="1" ht="14.4" customHeight="1" x14ac:dyDescent="0.3">
      <c r="A1" s="26" t="s">
        <v>74</v>
      </c>
      <c r="B1" s="26"/>
      <c r="C1" s="26"/>
      <c r="D1" s="26"/>
      <c r="E1" s="26"/>
      <c r="F1" s="26"/>
      <c r="G1" s="26"/>
      <c r="H1" s="26"/>
      <c r="I1" s="26"/>
      <c r="J1" s="26"/>
      <c r="K1" s="26"/>
      <c r="L1" s="26"/>
      <c r="M1" s="26"/>
      <c r="N1" s="26"/>
      <c r="O1" s="26"/>
      <c r="P1" s="26"/>
      <c r="Q1" s="26"/>
      <c r="R1" s="26"/>
      <c r="S1" s="26"/>
      <c r="T1" s="26"/>
      <c r="U1" s="26"/>
      <c r="V1" s="26"/>
      <c r="W1" s="26"/>
      <c r="X1" s="26"/>
      <c r="Y1" s="26"/>
      <c r="Z1" s="26"/>
      <c r="AA1" s="26"/>
      <c r="AB1" s="26"/>
      <c r="AC1" s="26"/>
    </row>
    <row r="2" spans="1:29" s="25" customFormat="1" ht="14.4" customHeight="1" x14ac:dyDescent="0.3">
      <c r="A2" s="26"/>
      <c r="B2" s="26"/>
      <c r="C2" s="26"/>
      <c r="D2" s="26"/>
      <c r="E2" s="26"/>
      <c r="F2" s="26"/>
      <c r="G2" s="26"/>
      <c r="H2" s="26"/>
      <c r="I2" s="26"/>
      <c r="J2" s="26"/>
      <c r="K2" s="26"/>
      <c r="L2" s="26"/>
      <c r="M2" s="26"/>
      <c r="N2" s="26"/>
      <c r="O2" s="26"/>
      <c r="P2" s="26"/>
      <c r="Q2" s="26"/>
      <c r="R2" s="26"/>
      <c r="S2" s="26"/>
      <c r="T2" s="26"/>
      <c r="U2" s="26"/>
      <c r="V2" s="26"/>
      <c r="W2" s="26"/>
      <c r="X2" s="26"/>
      <c r="Y2" s="26"/>
      <c r="Z2" s="26"/>
      <c r="AA2" s="26"/>
      <c r="AB2" s="26"/>
      <c r="AC2" s="26"/>
    </row>
    <row r="3" spans="1:29" s="25" customFormat="1" ht="14.4" customHeight="1" x14ac:dyDescent="0.3">
      <c r="A3" s="26"/>
      <c r="B3" s="26"/>
      <c r="C3" s="26"/>
      <c r="D3" s="26"/>
      <c r="E3" s="26"/>
      <c r="F3" s="26"/>
      <c r="G3" s="26"/>
      <c r="H3" s="26"/>
      <c r="I3" s="26"/>
      <c r="J3" s="26"/>
      <c r="K3" s="26"/>
      <c r="L3" s="26"/>
      <c r="M3" s="26"/>
      <c r="N3" s="26"/>
      <c r="O3" s="26"/>
      <c r="P3" s="26"/>
      <c r="Q3" s="26"/>
      <c r="R3" s="26"/>
      <c r="S3" s="26"/>
      <c r="T3" s="26"/>
      <c r="U3" s="26"/>
      <c r="V3" s="26"/>
      <c r="W3" s="26"/>
      <c r="X3" s="26"/>
      <c r="Y3" s="26"/>
      <c r="Z3" s="26"/>
      <c r="AA3" s="26"/>
      <c r="AB3" s="26"/>
      <c r="AC3" s="26"/>
    </row>
    <row r="4" spans="1:29" s="25" customFormat="1" ht="14.4" customHeight="1" x14ac:dyDescent="0.3">
      <c r="A4" s="26"/>
      <c r="B4" s="26"/>
      <c r="C4" s="26"/>
      <c r="D4" s="26"/>
      <c r="E4" s="26"/>
      <c r="F4" s="26"/>
      <c r="G4" s="26"/>
      <c r="H4" s="26"/>
      <c r="I4" s="26"/>
      <c r="J4" s="26"/>
      <c r="K4" s="26"/>
      <c r="L4" s="26"/>
      <c r="M4" s="26"/>
      <c r="N4" s="26"/>
      <c r="O4" s="26"/>
      <c r="P4" s="26"/>
      <c r="Q4" s="26"/>
      <c r="R4" s="26"/>
      <c r="S4" s="26"/>
      <c r="T4" s="26"/>
      <c r="U4" s="26"/>
      <c r="V4" s="26"/>
      <c r="W4" s="26"/>
      <c r="X4" s="26"/>
      <c r="Y4" s="26"/>
      <c r="Z4" s="26"/>
      <c r="AA4" s="26"/>
      <c r="AB4" s="26"/>
      <c r="AC4" s="26"/>
    </row>
    <row r="5" spans="1:29" s="24" customFormat="1" x14ac:dyDescent="0.3"/>
    <row r="6" spans="1:29" s="24" customFormat="1" x14ac:dyDescent="0.3"/>
    <row r="7" spans="1:29" s="24" customFormat="1" x14ac:dyDescent="0.3"/>
    <row r="8" spans="1:29" s="24" customFormat="1" x14ac:dyDescent="0.3"/>
    <row r="9" spans="1:29" s="24" customFormat="1" x14ac:dyDescent="0.3"/>
    <row r="10" spans="1:29" s="24" customFormat="1" x14ac:dyDescent="0.3"/>
    <row r="11" spans="1:29" s="24" customFormat="1" x14ac:dyDescent="0.3"/>
    <row r="12" spans="1:29" s="24" customFormat="1" x14ac:dyDescent="0.3"/>
    <row r="13" spans="1:29" s="24" customFormat="1" x14ac:dyDescent="0.3"/>
    <row r="14" spans="1:29" s="24" customFormat="1" x14ac:dyDescent="0.3"/>
    <row r="15" spans="1:29" s="24" customFormat="1" x14ac:dyDescent="0.3"/>
    <row r="16" spans="1:29" s="24" customFormat="1" x14ac:dyDescent="0.3"/>
    <row r="17" s="24" customFormat="1" x14ac:dyDescent="0.3"/>
    <row r="18" s="24" customFormat="1" x14ac:dyDescent="0.3"/>
    <row r="19" s="24" customFormat="1" x14ac:dyDescent="0.3"/>
    <row r="20" s="24" customFormat="1" x14ac:dyDescent="0.3"/>
    <row r="21" s="24" customFormat="1" x14ac:dyDescent="0.3"/>
    <row r="22" s="24" customFormat="1" x14ac:dyDescent="0.3"/>
    <row r="23" s="24" customFormat="1" x14ac:dyDescent="0.3"/>
    <row r="24" s="24" customFormat="1" x14ac:dyDescent="0.3"/>
    <row r="25" s="24" customFormat="1" x14ac:dyDescent="0.3"/>
    <row r="26" s="24" customFormat="1" x14ac:dyDescent="0.3"/>
    <row r="27" s="24" customFormat="1" x14ac:dyDescent="0.3"/>
    <row r="28" s="24" customFormat="1" x14ac:dyDescent="0.3"/>
    <row r="29" s="24" customFormat="1" x14ac:dyDescent="0.3"/>
    <row r="30" s="24" customFormat="1" x14ac:dyDescent="0.3"/>
    <row r="31" s="24" customFormat="1" x14ac:dyDescent="0.3"/>
    <row r="32" s="24" customFormat="1" x14ac:dyDescent="0.3"/>
    <row r="33" s="24" customFormat="1" x14ac:dyDescent="0.3"/>
    <row r="34" s="24" customFormat="1" x14ac:dyDescent="0.3"/>
    <row r="35" s="24" customFormat="1" x14ac:dyDescent="0.3"/>
    <row r="36" s="24" customFormat="1" x14ac:dyDescent="0.3"/>
    <row r="37" s="24" customFormat="1" x14ac:dyDescent="0.3"/>
    <row r="38" s="24" customFormat="1" x14ac:dyDescent="0.3"/>
    <row r="39" s="24" customFormat="1" x14ac:dyDescent="0.3"/>
    <row r="40" s="24" customFormat="1" x14ac:dyDescent="0.3"/>
    <row r="41" s="24" customFormat="1" x14ac:dyDescent="0.3"/>
    <row r="42" s="24" customFormat="1" x14ac:dyDescent="0.3"/>
    <row r="43" s="24" customFormat="1" x14ac:dyDescent="0.3"/>
    <row r="44" s="24" customFormat="1" x14ac:dyDescent="0.3"/>
    <row r="45" s="24" customFormat="1" x14ac:dyDescent="0.3"/>
    <row r="46" s="24" customFormat="1" x14ac:dyDescent="0.3"/>
    <row r="47" s="24" customFormat="1" x14ac:dyDescent="0.3"/>
    <row r="48" s="24" customFormat="1" x14ac:dyDescent="0.3"/>
    <row r="49" s="24" customFormat="1" x14ac:dyDescent="0.3"/>
    <row r="50" s="24" customFormat="1" x14ac:dyDescent="0.3"/>
    <row r="51" s="24" customFormat="1" x14ac:dyDescent="0.3"/>
    <row r="52" s="24" customFormat="1" x14ac:dyDescent="0.3"/>
    <row r="53" s="24" customFormat="1" x14ac:dyDescent="0.3"/>
    <row r="54" s="24" customFormat="1" x14ac:dyDescent="0.3"/>
    <row r="55" s="24" customFormat="1" x14ac:dyDescent="0.3"/>
    <row r="56" s="24" customFormat="1" x14ac:dyDescent="0.3"/>
    <row r="57" s="24" customFormat="1" x14ac:dyDescent="0.3"/>
    <row r="58" s="24" customFormat="1" x14ac:dyDescent="0.3"/>
    <row r="59" s="24" customFormat="1" x14ac:dyDescent="0.3"/>
    <row r="60" s="24" customFormat="1" x14ac:dyDescent="0.3"/>
    <row r="61" s="24" customFormat="1" x14ac:dyDescent="0.3"/>
    <row r="62" s="24" customFormat="1" x14ac:dyDescent="0.3"/>
    <row r="63" s="24" customFormat="1" x14ac:dyDescent="0.3"/>
    <row r="64" s="24" customFormat="1" x14ac:dyDescent="0.3"/>
    <row r="65" s="24" customFormat="1" x14ac:dyDescent="0.3"/>
    <row r="66" s="24" customFormat="1" x14ac:dyDescent="0.3"/>
    <row r="67" s="24" customFormat="1" x14ac:dyDescent="0.3"/>
    <row r="68" s="24" customFormat="1" x14ac:dyDescent="0.3"/>
    <row r="69" s="24" customFormat="1" x14ac:dyDescent="0.3"/>
    <row r="70" s="24" customFormat="1" x14ac:dyDescent="0.3"/>
    <row r="71" s="24" customFormat="1" x14ac:dyDescent="0.3"/>
    <row r="72" s="24" customFormat="1" x14ac:dyDescent="0.3"/>
    <row r="73" s="24" customFormat="1" x14ac:dyDescent="0.3"/>
    <row r="74" s="24" customFormat="1" x14ac:dyDescent="0.3"/>
    <row r="75" s="24" customFormat="1" x14ac:dyDescent="0.3"/>
    <row r="76" s="24" customFormat="1" x14ac:dyDescent="0.3"/>
    <row r="77" s="24" customFormat="1" x14ac:dyDescent="0.3"/>
    <row r="78" s="24" customFormat="1" x14ac:dyDescent="0.3"/>
    <row r="79" s="24" customFormat="1" x14ac:dyDescent="0.3"/>
    <row r="80" s="24" customFormat="1" x14ac:dyDescent="0.3"/>
    <row r="81" s="24" customFormat="1" x14ac:dyDescent="0.3"/>
    <row r="82" s="24" customFormat="1" x14ac:dyDescent="0.3"/>
    <row r="83" s="24" customFormat="1" x14ac:dyDescent="0.3"/>
    <row r="84" s="24" customFormat="1" x14ac:dyDescent="0.3"/>
    <row r="85" s="24" customFormat="1" x14ac:dyDescent="0.3"/>
    <row r="86" s="24" customFormat="1" x14ac:dyDescent="0.3"/>
    <row r="87" s="24" customFormat="1" x14ac:dyDescent="0.3"/>
    <row r="88" s="24" customFormat="1" x14ac:dyDescent="0.3"/>
    <row r="89" s="24" customFormat="1" x14ac:dyDescent="0.3"/>
    <row r="90" s="24" customFormat="1" x14ac:dyDescent="0.3"/>
    <row r="91" s="24" customFormat="1" x14ac:dyDescent="0.3"/>
    <row r="92" s="24" customFormat="1" x14ac:dyDescent="0.3"/>
    <row r="93" s="24" customFormat="1" x14ac:dyDescent="0.3"/>
    <row r="94" s="24" customFormat="1" x14ac:dyDescent="0.3"/>
    <row r="95" s="24" customFormat="1" x14ac:dyDescent="0.3"/>
    <row r="96" s="24" customFormat="1" x14ac:dyDescent="0.3"/>
    <row r="97" s="24" customFormat="1" x14ac:dyDescent="0.3"/>
    <row r="98" s="24" customFormat="1" x14ac:dyDescent="0.3"/>
    <row r="99" s="24" customFormat="1" x14ac:dyDescent="0.3"/>
    <row r="100" s="24" customFormat="1" x14ac:dyDescent="0.3"/>
    <row r="101" s="24" customFormat="1" x14ac:dyDescent="0.3"/>
    <row r="102" s="24" customFormat="1" x14ac:dyDescent="0.3"/>
    <row r="103" s="24" customFormat="1" x14ac:dyDescent="0.3"/>
    <row r="104" s="24" customFormat="1" x14ac:dyDescent="0.3"/>
    <row r="105" s="24" customFormat="1" x14ac:dyDescent="0.3"/>
    <row r="106" s="24" customFormat="1" x14ac:dyDescent="0.3"/>
    <row r="107" s="24" customFormat="1" x14ac:dyDescent="0.3"/>
    <row r="108" s="24" customFormat="1" x14ac:dyDescent="0.3"/>
    <row r="109" s="24" customFormat="1" x14ac:dyDescent="0.3"/>
    <row r="110" s="24" customFormat="1" x14ac:dyDescent="0.3"/>
    <row r="111" s="24" customFormat="1" x14ac:dyDescent="0.3"/>
    <row r="112" s="24" customFormat="1" x14ac:dyDescent="0.3"/>
    <row r="113" s="24" customFormat="1" x14ac:dyDescent="0.3"/>
    <row r="114" s="24" customFormat="1" x14ac:dyDescent="0.3"/>
    <row r="115" s="24" customFormat="1" x14ac:dyDescent="0.3"/>
    <row r="116" s="24" customFormat="1" x14ac:dyDescent="0.3"/>
    <row r="117" s="24" customFormat="1" x14ac:dyDescent="0.3"/>
    <row r="118" s="24" customFormat="1" x14ac:dyDescent="0.3"/>
    <row r="119" s="24" customFormat="1" x14ac:dyDescent="0.3"/>
    <row r="120" s="24" customFormat="1" x14ac:dyDescent="0.3"/>
    <row r="121" s="24" customFormat="1" x14ac:dyDescent="0.3"/>
    <row r="122" s="24" customFormat="1" x14ac:dyDescent="0.3"/>
    <row r="123" s="24" customFormat="1" x14ac:dyDescent="0.3"/>
    <row r="124" s="24" customFormat="1" x14ac:dyDescent="0.3"/>
    <row r="125" s="24" customFormat="1" x14ac:dyDescent="0.3"/>
    <row r="126" s="24" customFormat="1" x14ac:dyDescent="0.3"/>
    <row r="127" s="24" customFormat="1" x14ac:dyDescent="0.3"/>
    <row r="128" s="24" customFormat="1" x14ac:dyDescent="0.3"/>
    <row r="129" s="24" customFormat="1" x14ac:dyDescent="0.3"/>
    <row r="130" s="24" customFormat="1" x14ac:dyDescent="0.3"/>
    <row r="131" s="24" customFormat="1" x14ac:dyDescent="0.3"/>
    <row r="132" s="24" customFormat="1" x14ac:dyDescent="0.3"/>
    <row r="133" s="24" customFormat="1" x14ac:dyDescent="0.3"/>
    <row r="134" s="24" customFormat="1" x14ac:dyDescent="0.3"/>
    <row r="135" s="24" customFormat="1" x14ac:dyDescent="0.3"/>
    <row r="136" s="24" customFormat="1" x14ac:dyDescent="0.3"/>
    <row r="137" s="24" customFormat="1" x14ac:dyDescent="0.3"/>
    <row r="138" s="24" customFormat="1" x14ac:dyDescent="0.3"/>
    <row r="139" s="24" customFormat="1" x14ac:dyDescent="0.3"/>
    <row r="140" s="24" customFormat="1" x14ac:dyDescent="0.3"/>
    <row r="141" s="24" customFormat="1" x14ac:dyDescent="0.3"/>
    <row r="142" s="24" customFormat="1" x14ac:dyDescent="0.3"/>
    <row r="143" s="24" customFormat="1" x14ac:dyDescent="0.3"/>
    <row r="144" s="24" customFormat="1" x14ac:dyDescent="0.3"/>
    <row r="145" s="24" customFormat="1" x14ac:dyDescent="0.3"/>
    <row r="146" s="24" customFormat="1" x14ac:dyDescent="0.3"/>
    <row r="147" s="24" customFormat="1" x14ac:dyDescent="0.3"/>
    <row r="148" s="24" customFormat="1" x14ac:dyDescent="0.3"/>
    <row r="149" s="24" customFormat="1" x14ac:dyDescent="0.3"/>
    <row r="150" s="24" customFormat="1" x14ac:dyDescent="0.3"/>
    <row r="151" s="24" customFormat="1" x14ac:dyDescent="0.3"/>
    <row r="152" s="24" customFormat="1" x14ac:dyDescent="0.3"/>
    <row r="153" s="24" customFormat="1" x14ac:dyDescent="0.3"/>
    <row r="154" s="24" customFormat="1" x14ac:dyDescent="0.3"/>
    <row r="155" s="24" customFormat="1" x14ac:dyDescent="0.3"/>
    <row r="156" s="24" customFormat="1" x14ac:dyDescent="0.3"/>
    <row r="157" s="24" customFormat="1" x14ac:dyDescent="0.3"/>
    <row r="158" s="24" customFormat="1" x14ac:dyDescent="0.3"/>
    <row r="159" s="24" customFormat="1" x14ac:dyDescent="0.3"/>
    <row r="160" s="24" customFormat="1" x14ac:dyDescent="0.3"/>
    <row r="161" s="24" customFormat="1" x14ac:dyDescent="0.3"/>
    <row r="162" s="24" customFormat="1" x14ac:dyDescent="0.3"/>
    <row r="163" s="24" customFormat="1" x14ac:dyDescent="0.3"/>
    <row r="164" s="24" customFormat="1" x14ac:dyDescent="0.3"/>
    <row r="165" s="24" customFormat="1" x14ac:dyDescent="0.3"/>
    <row r="166" s="24" customFormat="1" x14ac:dyDescent="0.3"/>
    <row r="167" s="24" customFormat="1" x14ac:dyDescent="0.3"/>
    <row r="168" s="24" customFormat="1" x14ac:dyDescent="0.3"/>
    <row r="169" s="24" customFormat="1" x14ac:dyDescent="0.3"/>
    <row r="170" s="24" customFormat="1" x14ac:dyDescent="0.3"/>
    <row r="171" s="24" customFormat="1" x14ac:dyDescent="0.3"/>
    <row r="172" s="24" customFormat="1" x14ac:dyDescent="0.3"/>
    <row r="173" s="24" customFormat="1" x14ac:dyDescent="0.3"/>
    <row r="174" s="24" customFormat="1" x14ac:dyDescent="0.3"/>
    <row r="175" s="24" customFormat="1" x14ac:dyDescent="0.3"/>
    <row r="176" s="24" customFormat="1" x14ac:dyDescent="0.3"/>
    <row r="177" s="24" customFormat="1" x14ac:dyDescent="0.3"/>
    <row r="178" s="24" customFormat="1" x14ac:dyDescent="0.3"/>
    <row r="179" s="24" customFormat="1" x14ac:dyDescent="0.3"/>
    <row r="180" s="24" customFormat="1" x14ac:dyDescent="0.3"/>
    <row r="181" s="24" customFormat="1" x14ac:dyDescent="0.3"/>
    <row r="182" s="24" customFormat="1" x14ac:dyDescent="0.3"/>
    <row r="183" s="24" customFormat="1" x14ac:dyDescent="0.3"/>
    <row r="184" s="24" customFormat="1" x14ac:dyDescent="0.3"/>
    <row r="185" s="24" customFormat="1" x14ac:dyDescent="0.3"/>
    <row r="186" s="24" customFormat="1" x14ac:dyDescent="0.3"/>
    <row r="187" s="24" customFormat="1" x14ac:dyDescent="0.3"/>
    <row r="188" s="24" customFormat="1" x14ac:dyDescent="0.3"/>
    <row r="189" s="24" customFormat="1" x14ac:dyDescent="0.3"/>
    <row r="190" s="24" customFormat="1" x14ac:dyDescent="0.3"/>
    <row r="191" s="24" customFormat="1" x14ac:dyDescent="0.3"/>
    <row r="192" s="24" customFormat="1" x14ac:dyDescent="0.3"/>
    <row r="193" s="24" customFormat="1" x14ac:dyDescent="0.3"/>
    <row r="194" s="24" customFormat="1" x14ac:dyDescent="0.3"/>
    <row r="195" s="24" customFormat="1" x14ac:dyDescent="0.3"/>
    <row r="196" s="24" customFormat="1" x14ac:dyDescent="0.3"/>
    <row r="197" s="24" customFormat="1" x14ac:dyDescent="0.3"/>
    <row r="198" s="24" customFormat="1" x14ac:dyDescent="0.3"/>
    <row r="199" s="24" customFormat="1" x14ac:dyDescent="0.3"/>
    <row r="200" s="24" customFormat="1" x14ac:dyDescent="0.3"/>
    <row r="201" s="24" customFormat="1" x14ac:dyDescent="0.3"/>
    <row r="202" s="24" customFormat="1" x14ac:dyDescent="0.3"/>
    <row r="203" s="24" customFormat="1" x14ac:dyDescent="0.3"/>
    <row r="204" s="24" customFormat="1" x14ac:dyDescent="0.3"/>
    <row r="205" s="24" customFormat="1" x14ac:dyDescent="0.3"/>
    <row r="206" s="24" customFormat="1" x14ac:dyDescent="0.3"/>
    <row r="207" s="24" customFormat="1" x14ac:dyDescent="0.3"/>
    <row r="208" s="24" customFormat="1" x14ac:dyDescent="0.3"/>
    <row r="209" s="24" customFormat="1" x14ac:dyDescent="0.3"/>
    <row r="210" s="24" customFormat="1" x14ac:dyDescent="0.3"/>
    <row r="211" s="24" customFormat="1" x14ac:dyDescent="0.3"/>
    <row r="212" s="24" customFormat="1" x14ac:dyDescent="0.3"/>
    <row r="213" s="24" customFormat="1" x14ac:dyDescent="0.3"/>
    <row r="214" s="24" customFormat="1" x14ac:dyDescent="0.3"/>
    <row r="215" s="24" customFormat="1" x14ac:dyDescent="0.3"/>
    <row r="216" s="24" customFormat="1" x14ac:dyDescent="0.3"/>
    <row r="217" s="24" customFormat="1" x14ac:dyDescent="0.3"/>
    <row r="218" s="24" customFormat="1" x14ac:dyDescent="0.3"/>
    <row r="219" s="24" customFormat="1" x14ac:dyDescent="0.3"/>
    <row r="220" s="24" customFormat="1" x14ac:dyDescent="0.3"/>
    <row r="221" s="24" customFormat="1" x14ac:dyDescent="0.3"/>
    <row r="222" s="24" customFormat="1" x14ac:dyDescent="0.3"/>
    <row r="223" s="24" customFormat="1" x14ac:dyDescent="0.3"/>
    <row r="224" s="24" customFormat="1" x14ac:dyDescent="0.3"/>
    <row r="225" s="24" customFormat="1" x14ac:dyDescent="0.3"/>
    <row r="226" s="24" customFormat="1" x14ac:dyDescent="0.3"/>
    <row r="227" s="24" customFormat="1" x14ac:dyDescent="0.3"/>
    <row r="228" s="24" customFormat="1" x14ac:dyDescent="0.3"/>
    <row r="229" s="24" customFormat="1" x14ac:dyDescent="0.3"/>
    <row r="230" s="24" customFormat="1" x14ac:dyDescent="0.3"/>
    <row r="231" s="24" customFormat="1" x14ac:dyDescent="0.3"/>
    <row r="232" s="24" customFormat="1" x14ac:dyDescent="0.3"/>
    <row r="233" s="24" customFormat="1" x14ac:dyDescent="0.3"/>
    <row r="234" s="24" customFormat="1" x14ac:dyDescent="0.3"/>
    <row r="235" s="24" customFormat="1" x14ac:dyDescent="0.3"/>
    <row r="236" s="24" customFormat="1" x14ac:dyDescent="0.3"/>
    <row r="237" s="24" customFormat="1" x14ac:dyDescent="0.3"/>
    <row r="238" s="24" customFormat="1" x14ac:dyDescent="0.3"/>
    <row r="239" s="24" customFormat="1" x14ac:dyDescent="0.3"/>
    <row r="240" s="24" customFormat="1" x14ac:dyDescent="0.3"/>
    <row r="241" s="24" customFormat="1" x14ac:dyDescent="0.3"/>
    <row r="242" s="24" customFormat="1" x14ac:dyDescent="0.3"/>
    <row r="243" s="24" customFormat="1" x14ac:dyDescent="0.3"/>
    <row r="244" s="24" customFormat="1" x14ac:dyDescent="0.3"/>
    <row r="245" s="24" customFormat="1" x14ac:dyDescent="0.3"/>
    <row r="246" s="24" customFormat="1" x14ac:dyDescent="0.3"/>
    <row r="247" s="24" customFormat="1" x14ac:dyDescent="0.3"/>
    <row r="248" s="24" customFormat="1" x14ac:dyDescent="0.3"/>
    <row r="249" s="24" customFormat="1" x14ac:dyDescent="0.3"/>
    <row r="250" s="24" customFormat="1" x14ac:dyDescent="0.3"/>
    <row r="251" s="24" customFormat="1" x14ac:dyDescent="0.3"/>
    <row r="252" s="24" customFormat="1" x14ac:dyDescent="0.3"/>
    <row r="253" s="24" customFormat="1" x14ac:dyDescent="0.3"/>
    <row r="254" s="24" customFormat="1" x14ac:dyDescent="0.3"/>
    <row r="255" s="24" customFormat="1" x14ac:dyDescent="0.3"/>
    <row r="256" s="24" customFormat="1" x14ac:dyDescent="0.3"/>
    <row r="257" s="24" customFormat="1" x14ac:dyDescent="0.3"/>
    <row r="258" s="24" customFormat="1" x14ac:dyDescent="0.3"/>
    <row r="259" s="24" customFormat="1" x14ac:dyDescent="0.3"/>
    <row r="260" s="24" customFormat="1" x14ac:dyDescent="0.3"/>
    <row r="261" s="24" customFormat="1" x14ac:dyDescent="0.3"/>
    <row r="262" s="24" customFormat="1" x14ac:dyDescent="0.3"/>
    <row r="263" s="24" customFormat="1" x14ac:dyDescent="0.3"/>
    <row r="264" s="24" customFormat="1" x14ac:dyDescent="0.3"/>
    <row r="265" s="24" customFormat="1" x14ac:dyDescent="0.3"/>
    <row r="266" s="24" customFormat="1" x14ac:dyDescent="0.3"/>
    <row r="267" s="24" customFormat="1" x14ac:dyDescent="0.3"/>
    <row r="268" s="24" customFormat="1" x14ac:dyDescent="0.3"/>
    <row r="269" s="24" customFormat="1" x14ac:dyDescent="0.3"/>
    <row r="270" s="24" customFormat="1" x14ac:dyDescent="0.3"/>
    <row r="271" s="24" customFormat="1" x14ac:dyDescent="0.3"/>
    <row r="272" s="24" customFormat="1" x14ac:dyDescent="0.3"/>
    <row r="273" s="24" customFormat="1" x14ac:dyDescent="0.3"/>
    <row r="274" s="24" customFormat="1" x14ac:dyDescent="0.3"/>
    <row r="275" s="24" customFormat="1" x14ac:dyDescent="0.3"/>
    <row r="276" s="24" customFormat="1" x14ac:dyDescent="0.3"/>
    <row r="277" s="24" customFormat="1" x14ac:dyDescent="0.3"/>
    <row r="278" s="24" customFormat="1" x14ac:dyDescent="0.3"/>
    <row r="279" s="24" customFormat="1" x14ac:dyDescent="0.3"/>
    <row r="280" s="24" customFormat="1" x14ac:dyDescent="0.3"/>
    <row r="281" s="24" customFormat="1" x14ac:dyDescent="0.3"/>
    <row r="282" s="24" customFormat="1" x14ac:dyDescent="0.3"/>
    <row r="283" s="24" customFormat="1" x14ac:dyDescent="0.3"/>
    <row r="284" s="24" customFormat="1" x14ac:dyDescent="0.3"/>
    <row r="285" s="24" customFormat="1" x14ac:dyDescent="0.3"/>
    <row r="286" s="24" customFormat="1" x14ac:dyDescent="0.3"/>
    <row r="287" s="24" customFormat="1" x14ac:dyDescent="0.3"/>
    <row r="288" s="24" customFormat="1" x14ac:dyDescent="0.3"/>
    <row r="289" s="24" customFormat="1" x14ac:dyDescent="0.3"/>
    <row r="290" s="24" customFormat="1" x14ac:dyDescent="0.3"/>
    <row r="291" s="24" customFormat="1" x14ac:dyDescent="0.3"/>
    <row r="292" s="24" customFormat="1" x14ac:dyDescent="0.3"/>
    <row r="293" s="24" customFormat="1" x14ac:dyDescent="0.3"/>
    <row r="294" s="24" customFormat="1" x14ac:dyDescent="0.3"/>
    <row r="295" s="24" customFormat="1" x14ac:dyDescent="0.3"/>
    <row r="296" s="24" customFormat="1" x14ac:dyDescent="0.3"/>
    <row r="297" s="24" customFormat="1" x14ac:dyDescent="0.3"/>
    <row r="298" s="24" customFormat="1" x14ac:dyDescent="0.3"/>
    <row r="299" s="24" customFormat="1" x14ac:dyDescent="0.3"/>
    <row r="300" s="24" customFormat="1" x14ac:dyDescent="0.3"/>
    <row r="301" s="24" customFormat="1" x14ac:dyDescent="0.3"/>
    <row r="302" s="24" customFormat="1" x14ac:dyDescent="0.3"/>
    <row r="303" s="24" customFormat="1" x14ac:dyDescent="0.3"/>
    <row r="304" s="24" customFormat="1" x14ac:dyDescent="0.3"/>
    <row r="305" s="24" customFormat="1" x14ac:dyDescent="0.3"/>
    <row r="306" s="24" customFormat="1" x14ac:dyDescent="0.3"/>
    <row r="307" s="24" customFormat="1" x14ac:dyDescent="0.3"/>
    <row r="308" s="24" customFormat="1" x14ac:dyDescent="0.3"/>
    <row r="309" s="24" customFormat="1" x14ac:dyDescent="0.3"/>
    <row r="310" s="24" customFormat="1" x14ac:dyDescent="0.3"/>
    <row r="311" s="24" customFormat="1" x14ac:dyDescent="0.3"/>
    <row r="312" s="24" customFormat="1" x14ac:dyDescent="0.3"/>
    <row r="313" s="24" customFormat="1" x14ac:dyDescent="0.3"/>
    <row r="314" s="24" customFormat="1" x14ac:dyDescent="0.3"/>
    <row r="315" s="24" customFormat="1" x14ac:dyDescent="0.3"/>
    <row r="316" s="24" customFormat="1" x14ac:dyDescent="0.3"/>
    <row r="317" s="24" customFormat="1" x14ac:dyDescent="0.3"/>
    <row r="318" s="24" customFormat="1" x14ac:dyDescent="0.3"/>
    <row r="319" s="24" customFormat="1" x14ac:dyDescent="0.3"/>
    <row r="320" s="24" customFormat="1" x14ac:dyDescent="0.3"/>
    <row r="321" s="24" customFormat="1" x14ac:dyDescent="0.3"/>
    <row r="322" s="24" customFormat="1" x14ac:dyDescent="0.3"/>
    <row r="323" s="24" customFormat="1" x14ac:dyDescent="0.3"/>
    <row r="324" s="24" customFormat="1" x14ac:dyDescent="0.3"/>
    <row r="325" s="24" customFormat="1" x14ac:dyDescent="0.3"/>
    <row r="326" s="24" customFormat="1" x14ac:dyDescent="0.3"/>
    <row r="327" s="24" customFormat="1" x14ac:dyDescent="0.3"/>
    <row r="328" s="24" customFormat="1" x14ac:dyDescent="0.3"/>
    <row r="329" s="24" customFormat="1" x14ac:dyDescent="0.3"/>
    <row r="330" s="24" customFormat="1" x14ac:dyDescent="0.3"/>
    <row r="331" s="24" customFormat="1" x14ac:dyDescent="0.3"/>
    <row r="332" s="24" customFormat="1" x14ac:dyDescent="0.3"/>
    <row r="333" s="24" customFormat="1" x14ac:dyDescent="0.3"/>
    <row r="334" s="24" customFormat="1" x14ac:dyDescent="0.3"/>
    <row r="335" s="24" customFormat="1" x14ac:dyDescent="0.3"/>
    <row r="336" s="24" customFormat="1" x14ac:dyDescent="0.3"/>
    <row r="337" s="24" customFormat="1" x14ac:dyDescent="0.3"/>
    <row r="338" s="24" customFormat="1" x14ac:dyDescent="0.3"/>
    <row r="339" s="24" customFormat="1" x14ac:dyDescent="0.3"/>
    <row r="340" s="24" customFormat="1" x14ac:dyDescent="0.3"/>
    <row r="341" s="24" customFormat="1" x14ac:dyDescent="0.3"/>
    <row r="342" s="24" customFormat="1" x14ac:dyDescent="0.3"/>
    <row r="343" s="24" customFormat="1" x14ac:dyDescent="0.3"/>
    <row r="344" s="24" customFormat="1" x14ac:dyDescent="0.3"/>
    <row r="345" s="24" customFormat="1" x14ac:dyDescent="0.3"/>
    <row r="346" s="24" customFormat="1" x14ac:dyDescent="0.3"/>
    <row r="347" s="24" customFormat="1" x14ac:dyDescent="0.3"/>
    <row r="348" s="24" customFormat="1" x14ac:dyDescent="0.3"/>
    <row r="349" s="24" customFormat="1" x14ac:dyDescent="0.3"/>
    <row r="350" s="24" customFormat="1" x14ac:dyDescent="0.3"/>
    <row r="351" s="24" customFormat="1" x14ac:dyDescent="0.3"/>
    <row r="352" s="24" customFormat="1" x14ac:dyDescent="0.3"/>
    <row r="353" s="24" customFormat="1" x14ac:dyDescent="0.3"/>
    <row r="354" s="24" customFormat="1" x14ac:dyDescent="0.3"/>
    <row r="355" s="24" customFormat="1" x14ac:dyDescent="0.3"/>
    <row r="356" s="24" customFormat="1" x14ac:dyDescent="0.3"/>
    <row r="357" s="24" customFormat="1" x14ac:dyDescent="0.3"/>
    <row r="358" s="24" customFormat="1" x14ac:dyDescent="0.3"/>
    <row r="359" s="24" customFormat="1" x14ac:dyDescent="0.3"/>
    <row r="360" s="24" customFormat="1" x14ac:dyDescent="0.3"/>
    <row r="361" s="24" customFormat="1" x14ac:dyDescent="0.3"/>
    <row r="362" s="24" customFormat="1" x14ac:dyDescent="0.3"/>
    <row r="363" s="24" customFormat="1" x14ac:dyDescent="0.3"/>
    <row r="364" s="24" customFormat="1" x14ac:dyDescent="0.3"/>
    <row r="365" s="24" customFormat="1" x14ac:dyDescent="0.3"/>
    <row r="366" s="24" customFormat="1" x14ac:dyDescent="0.3"/>
    <row r="367" s="24" customFormat="1" x14ac:dyDescent="0.3"/>
    <row r="368" s="24" customFormat="1" x14ac:dyDescent="0.3"/>
    <row r="369" s="24" customFormat="1" x14ac:dyDescent="0.3"/>
    <row r="370" s="24" customFormat="1" x14ac:dyDescent="0.3"/>
    <row r="371" s="24" customFormat="1" x14ac:dyDescent="0.3"/>
    <row r="372" s="24" customFormat="1" x14ac:dyDescent="0.3"/>
    <row r="373" s="24" customFormat="1" x14ac:dyDescent="0.3"/>
    <row r="374" s="24" customFormat="1" x14ac:dyDescent="0.3"/>
    <row r="375" s="24" customFormat="1" x14ac:dyDescent="0.3"/>
    <row r="376" s="24" customFormat="1" x14ac:dyDescent="0.3"/>
    <row r="377" s="24" customFormat="1" x14ac:dyDescent="0.3"/>
    <row r="378" s="24" customFormat="1" x14ac:dyDescent="0.3"/>
    <row r="379" s="24" customFormat="1" x14ac:dyDescent="0.3"/>
    <row r="380" s="24" customFormat="1" x14ac:dyDescent="0.3"/>
    <row r="381" s="24" customFormat="1" x14ac:dyDescent="0.3"/>
    <row r="382" s="24" customFormat="1" x14ac:dyDescent="0.3"/>
    <row r="383" s="24" customFormat="1" x14ac:dyDescent="0.3"/>
    <row r="384" s="24" customFormat="1" x14ac:dyDescent="0.3"/>
    <row r="385" s="24" customFormat="1" x14ac:dyDescent="0.3"/>
    <row r="386" s="24" customFormat="1" x14ac:dyDescent="0.3"/>
    <row r="387" s="24" customFormat="1" x14ac:dyDescent="0.3"/>
    <row r="388" s="24" customFormat="1" x14ac:dyDescent="0.3"/>
    <row r="389" s="24" customFormat="1" x14ac:dyDescent="0.3"/>
    <row r="390" s="24" customFormat="1" x14ac:dyDescent="0.3"/>
    <row r="391" s="24" customFormat="1" x14ac:dyDescent="0.3"/>
    <row r="392" s="24" customFormat="1" x14ac:dyDescent="0.3"/>
    <row r="393" s="24" customFormat="1" x14ac:dyDescent="0.3"/>
    <row r="394" s="24" customFormat="1" x14ac:dyDescent="0.3"/>
    <row r="395" s="24" customFormat="1" x14ac:dyDescent="0.3"/>
    <row r="396" s="24" customFormat="1" x14ac:dyDescent="0.3"/>
    <row r="397" s="24" customFormat="1" x14ac:dyDescent="0.3"/>
    <row r="398" s="24" customFormat="1" x14ac:dyDescent="0.3"/>
    <row r="399" s="24" customFormat="1" x14ac:dyDescent="0.3"/>
    <row r="400" s="24" customFormat="1" x14ac:dyDescent="0.3"/>
    <row r="401" s="24" customFormat="1" x14ac:dyDescent="0.3"/>
    <row r="402" s="24" customFormat="1" x14ac:dyDescent="0.3"/>
    <row r="403" s="24" customFormat="1" x14ac:dyDescent="0.3"/>
    <row r="404" s="24" customFormat="1" x14ac:dyDescent="0.3"/>
    <row r="405" s="24" customFormat="1" x14ac:dyDescent="0.3"/>
    <row r="406" s="24" customFormat="1" x14ac:dyDescent="0.3"/>
    <row r="407" s="24" customFormat="1" x14ac:dyDescent="0.3"/>
    <row r="408" s="24" customFormat="1" x14ac:dyDescent="0.3"/>
    <row r="409" s="24" customFormat="1" x14ac:dyDescent="0.3"/>
    <row r="410" s="24" customFormat="1" x14ac:dyDescent="0.3"/>
    <row r="411" s="24" customFormat="1" x14ac:dyDescent="0.3"/>
    <row r="412" s="24" customFormat="1" x14ac:dyDescent="0.3"/>
    <row r="413" s="24" customFormat="1" x14ac:dyDescent="0.3"/>
    <row r="414" s="24" customFormat="1" x14ac:dyDescent="0.3"/>
    <row r="415" s="24" customFormat="1" x14ac:dyDescent="0.3"/>
    <row r="416" s="24" customFormat="1" x14ac:dyDescent="0.3"/>
    <row r="417" s="24" customFormat="1" x14ac:dyDescent="0.3"/>
    <row r="418" s="24" customFormat="1" x14ac:dyDescent="0.3"/>
    <row r="419" s="24" customFormat="1" x14ac:dyDescent="0.3"/>
    <row r="420" s="24" customFormat="1" x14ac:dyDescent="0.3"/>
    <row r="421" s="24" customFormat="1" x14ac:dyDescent="0.3"/>
    <row r="422" s="24" customFormat="1" x14ac:dyDescent="0.3"/>
    <row r="423" s="24" customFormat="1" x14ac:dyDescent="0.3"/>
    <row r="424" s="24" customFormat="1" x14ac:dyDescent="0.3"/>
    <row r="425" s="24" customFormat="1" x14ac:dyDescent="0.3"/>
    <row r="426" s="24" customFormat="1" x14ac:dyDescent="0.3"/>
    <row r="427" s="24" customFormat="1" x14ac:dyDescent="0.3"/>
    <row r="428" s="24" customFormat="1" x14ac:dyDescent="0.3"/>
    <row r="429" s="24" customFormat="1" x14ac:dyDescent="0.3"/>
    <row r="430" s="24" customFormat="1" x14ac:dyDescent="0.3"/>
    <row r="431" s="24" customFormat="1" x14ac:dyDescent="0.3"/>
    <row r="432" s="24" customFormat="1" x14ac:dyDescent="0.3"/>
    <row r="433" s="24" customFormat="1" x14ac:dyDescent="0.3"/>
    <row r="434" s="24" customFormat="1" x14ac:dyDescent="0.3"/>
    <row r="435" s="24" customFormat="1" x14ac:dyDescent="0.3"/>
    <row r="436" s="24" customFormat="1" x14ac:dyDescent="0.3"/>
    <row r="437" s="24" customFormat="1" x14ac:dyDescent="0.3"/>
    <row r="438" s="24" customFormat="1" x14ac:dyDescent="0.3"/>
    <row r="439" s="24" customFormat="1" x14ac:dyDescent="0.3"/>
    <row r="440" s="24" customFormat="1" x14ac:dyDescent="0.3"/>
    <row r="441" s="24" customFormat="1" x14ac:dyDescent="0.3"/>
    <row r="442" s="24" customFormat="1" x14ac:dyDescent="0.3"/>
    <row r="443" s="24" customFormat="1" x14ac:dyDescent="0.3"/>
    <row r="444" s="24" customFormat="1" x14ac:dyDescent="0.3"/>
    <row r="445" s="24" customFormat="1" x14ac:dyDescent="0.3"/>
    <row r="446" s="24" customFormat="1" x14ac:dyDescent="0.3"/>
    <row r="447" s="24" customFormat="1" x14ac:dyDescent="0.3"/>
    <row r="448" s="24" customFormat="1" x14ac:dyDescent="0.3"/>
    <row r="449" s="24" customFormat="1" x14ac:dyDescent="0.3"/>
    <row r="450" s="24" customFormat="1" x14ac:dyDescent="0.3"/>
    <row r="451" s="24" customFormat="1" x14ac:dyDescent="0.3"/>
    <row r="452" s="24" customFormat="1" x14ac:dyDescent="0.3"/>
    <row r="453" s="24" customFormat="1" x14ac:dyDescent="0.3"/>
    <row r="454" s="24" customFormat="1" x14ac:dyDescent="0.3"/>
    <row r="455" s="24" customFormat="1" x14ac:dyDescent="0.3"/>
    <row r="456" s="24" customFormat="1" x14ac:dyDescent="0.3"/>
    <row r="457" s="24" customFormat="1" x14ac:dyDescent="0.3"/>
    <row r="458" s="24" customFormat="1" x14ac:dyDescent="0.3"/>
    <row r="459" s="24" customFormat="1" x14ac:dyDescent="0.3"/>
    <row r="460" s="24" customFormat="1" x14ac:dyDescent="0.3"/>
    <row r="461" s="24" customFormat="1" x14ac:dyDescent="0.3"/>
    <row r="462" s="24" customFormat="1" x14ac:dyDescent="0.3"/>
    <row r="463" s="24" customFormat="1" x14ac:dyDescent="0.3"/>
    <row r="464" s="24" customFormat="1" x14ac:dyDescent="0.3"/>
    <row r="465" s="24" customFormat="1" x14ac:dyDescent="0.3"/>
    <row r="466" s="24" customFormat="1" x14ac:dyDescent="0.3"/>
    <row r="467" s="24" customFormat="1" x14ac:dyDescent="0.3"/>
    <row r="468" s="24" customFormat="1" x14ac:dyDescent="0.3"/>
    <row r="469" s="24" customFormat="1" x14ac:dyDescent="0.3"/>
    <row r="470" s="24" customFormat="1" x14ac:dyDescent="0.3"/>
    <row r="471" s="24" customFormat="1" x14ac:dyDescent="0.3"/>
    <row r="472" s="24" customFormat="1" x14ac:dyDescent="0.3"/>
    <row r="473" s="24" customFormat="1" x14ac:dyDescent="0.3"/>
    <row r="474" s="24" customFormat="1" x14ac:dyDescent="0.3"/>
    <row r="475" s="24" customFormat="1" x14ac:dyDescent="0.3"/>
  </sheetData>
  <mergeCells count="1">
    <mergeCell ref="A1:AC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vt:lpstr>
      <vt:lpstr>Cleaned_Data</vt:lpstr>
      <vt:lpstr>Processing</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ajay patel</dc:creator>
  <cp:lastModifiedBy>ajay patel</cp:lastModifiedBy>
  <dcterms:created xsi:type="dcterms:W3CDTF">2026-04-12T16:30:42Z</dcterms:created>
  <dcterms:modified xsi:type="dcterms:W3CDTF">2026-04-13T15:31:38Z</dcterms:modified>
</cp:coreProperties>
</file>